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DC\Downloads\"/>
    </mc:Choice>
  </mc:AlternateContent>
  <xr:revisionPtr revIDLastSave="0" documentId="13_ncr:1_{14FA8BB4-2293-425B-AF2C-6B93296DD66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tions" sheetId="1" r:id="rId1"/>
    <sheet name="Sheet1" sheetId="6" r:id="rId2"/>
    <sheet name="Sales_Data" sheetId="2" r:id="rId3"/>
    <sheet name="Product_Master" sheetId="3" r:id="rId4"/>
    <sheet name="Student_Marks" sheetId="4" r:id="rId5"/>
    <sheet name="Questions" sheetId="5" r:id="rId6"/>
  </sheets>
  <definedNames>
    <definedName name="_xlnm._FilterDatabase" localSheetId="2" hidden="1">Sales_Data!$K$1:$K$7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2" l="1"/>
  <c r="D13" i="2"/>
  <c r="D14" i="2"/>
  <c r="D15" i="2"/>
  <c r="R3" i="2"/>
  <c r="R4" i="2"/>
  <c r="R5" i="2"/>
  <c r="R6" i="2"/>
  <c r="R7" i="2"/>
  <c r="R2" i="2"/>
  <c r="H3" i="4"/>
  <c r="H4" i="4"/>
  <c r="H5" i="4"/>
  <c r="H6" i="4"/>
  <c r="H2" i="4"/>
  <c r="D9" i="4"/>
  <c r="D12" i="4" a="1"/>
  <c r="D12" i="4" s="1"/>
  <c r="G2" i="4"/>
  <c r="E8" i="4"/>
  <c r="D8" i="4"/>
  <c r="C8" i="4"/>
  <c r="E7" i="4"/>
  <c r="D7" i="4"/>
  <c r="C7" i="4"/>
  <c r="N2" i="2" a="1"/>
  <c r="N2" i="2" s="1"/>
  <c r="O3" i="2"/>
  <c r="O4" i="2"/>
  <c r="O5" i="2"/>
  <c r="O6" i="2"/>
  <c r="O7" i="2"/>
  <c r="O8" i="2"/>
  <c r="O2" i="2"/>
  <c r="M2" i="2"/>
  <c r="I3" i="2"/>
  <c r="I4" i="2"/>
  <c r="I5" i="2"/>
  <c r="I6" i="2"/>
  <c r="I7" i="2"/>
  <c r="I2" i="2"/>
  <c r="H3" i="2"/>
  <c r="H4" i="2"/>
  <c r="H5" i="2"/>
  <c r="H6" i="2"/>
  <c r="H7" i="2"/>
  <c r="H2" i="2"/>
  <c r="J32" i="5"/>
  <c r="H8" i="2" l="1"/>
  <c r="J2" i="2"/>
  <c r="K2" i="2" s="1"/>
  <c r="P2" i="2" s="1"/>
  <c r="J7" i="2"/>
  <c r="K7" i="2" s="1"/>
  <c r="K8" i="2" s="1"/>
  <c r="L2" i="2" s="1"/>
  <c r="J6" i="2"/>
  <c r="K6" i="2" s="1"/>
  <c r="J5" i="2"/>
  <c r="K5" i="2" s="1"/>
  <c r="J4" i="2"/>
  <c r="K4" i="2" s="1"/>
  <c r="J3" i="2"/>
  <c r="K3" i="2" s="1"/>
  <c r="Q2" i="2" l="1"/>
  <c r="J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<sst xmlns="http://schemas.openxmlformats.org/spreadsheetml/2006/main" count="110" uniqueCount="97">
  <si>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</si>
  <si>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</si>
  <si>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</si>
  <si>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</si>
  <si>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</si>
  <si>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</si>
  <si>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</si>
  <si>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</si>
  <si>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</si>
  <si>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</si>
  <si>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</si>
  <si>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</si>
  <si>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</si>
  <si>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</si>
  <si>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</si>
  <si>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</si>
  <si>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</si>
  <si>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</si>
  <si>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East</t>
  </si>
  <si>
    <t>Kunal</t>
  </si>
  <si>
    <t>Tablet</t>
  </si>
  <si>
    <t>West</t>
  </si>
  <si>
    <t>Neha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</si>
  <si>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</si>
  <si>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</si>
  <si>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</si>
  <si>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</si>
  <si>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</si>
  <si>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</si>
  <si>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</si>
  <si>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</si>
  <si>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</si>
  <si>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</si>
  <si>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</si>
  <si>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</si>
  <si>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</si>
  <si>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</si>
  <si>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</si>
  <si>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</si>
  <si>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</si>
  <si>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</si>
  <si>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</si>
  <si>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</si>
  <si>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</si>
  <si>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</si>
  <si>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</si>
  <si>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</si>
  <si>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</si>
  <si>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</si>
  <si>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</si>
  <si>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</si>
  <si>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</si>
  <si>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</si>
  <si>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</si>
  <si>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</si>
  <si>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</si>
  <si>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</si>
  <si>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</si>
  <si>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</si>
  <si>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</si>
  <si>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</si>
  <si>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</si>
  <si>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</si>
  <si>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</si>
  <si>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</si>
  <si>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</si>
  <si>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</si>
  <si>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</si>
  <si>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 Sales</t>
  </si>
  <si>
    <t>Total</t>
  </si>
  <si>
    <t xml:space="preserve">GST </t>
  </si>
  <si>
    <t>GST AMOUNT</t>
  </si>
  <si>
    <t xml:space="preserve"> </t>
  </si>
  <si>
    <t>GRAND TOTAL</t>
  </si>
  <si>
    <t>TOTAL ORDERS</t>
  </si>
  <si>
    <t>FINAL AMOUNT</t>
  </si>
  <si>
    <t>IF</t>
  </si>
  <si>
    <t>REGIONWISE SALES</t>
  </si>
  <si>
    <t>TOTAL</t>
  </si>
  <si>
    <t>NORTH</t>
  </si>
  <si>
    <t>EAST</t>
  </si>
  <si>
    <t>WEST</t>
  </si>
  <si>
    <t>SOUTH</t>
  </si>
  <si>
    <t>MONTH NAME</t>
  </si>
  <si>
    <t>05-01-2026</t>
  </si>
  <si>
    <t>05-01-2027</t>
  </si>
  <si>
    <t>05-01-2028</t>
  </si>
  <si>
    <t>05-01-2029</t>
  </si>
  <si>
    <t>05-01-2030</t>
  </si>
  <si>
    <t>MAXIMUM</t>
  </si>
  <si>
    <t>MINIMUM</t>
  </si>
  <si>
    <t>TOTAl</t>
  </si>
  <si>
    <t>Average</t>
  </si>
  <si>
    <t>median</t>
  </si>
  <si>
    <t>concatenate</t>
  </si>
  <si>
    <t>LEFT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</si>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</sst>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800]dddd\,\ mmmm\ dd\,\ yyyy"/>
    <numFmt numFmtId="167" formatCode="[$-14009]dd\ mmmm\ 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9" fontId="0" fillId="0" borderId="0" xfId="0" applyNumberFormat="1"/>
    <xf numFmtId="0" fontId="0" fillId="4" borderId="1" xfId="0" applyFill="1" applyBorder="1"/>
    <xf numFmtId="165" fontId="0" fillId="0" borderId="1" xfId="0" applyNumberFormat="1" applyBorder="1"/>
    <xf numFmtId="165" fontId="0" fillId="3" borderId="1" xfId="0" applyNumberFormat="1" applyFill="1" applyBorder="1" applyAlignment="1">
      <alignment horizontal="center"/>
    </xf>
    <xf numFmtId="165" fontId="0" fillId="0" borderId="4" xfId="0" applyNumberFormat="1" applyBorder="1"/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4" xfId="0" applyFill="1" applyBorder="1"/>
    <xf numFmtId="167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67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4963-A2DE-4922-BC11-37F3A78635C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"/>
  <sheetViews>
    <sheetView tabSelected="1" workbookViewId="0">
      <selection activeCell="D2" sqref="D2"/>
    </sheetView>
  </sheetViews>
  <sheetFormatPr defaultRowHeight="15" x14ac:dyDescent="0.25"/>
  <cols>
    <col min="3" max="3" width="18" customWidth="1"/>
    <col min="6" max="6" width="10.140625" bestFit="1" customWidth="1"/>
    <col min="7" max="7" width="11.140625" customWidth="1"/>
    <col min="8" max="8" width="12.7109375" customWidth="1"/>
    <col min="9" max="9" width="18.7109375" customWidth="1"/>
    <col min="10" max="10" width="15" customWidth="1"/>
    <col min="11" max="11" width="13.5703125" bestFit="1" customWidth="1"/>
    <col min="12" max="12" width="14.140625" bestFit="1" customWidth="1"/>
    <col min="13" max="13" width="14" customWidth="1"/>
    <col min="14" max="14" width="24.7109375" bestFit="1" customWidth="1"/>
    <col min="16" max="16" width="10.85546875" customWidth="1"/>
    <col min="18" max="18" width="22.28515625" customWidth="1"/>
  </cols>
  <sheetData>
    <row r="1" spans="1:18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6" t="s">
        <v>68</v>
      </c>
      <c r="I1" s="7" t="s">
        <v>70</v>
      </c>
      <c r="J1" s="7" t="s">
        <v>71</v>
      </c>
      <c r="K1" s="7" t="s">
        <v>75</v>
      </c>
      <c r="L1" s="5" t="s">
        <v>73</v>
      </c>
      <c r="M1" s="5" t="s">
        <v>74</v>
      </c>
      <c r="N1" s="7" t="s">
        <v>83</v>
      </c>
      <c r="O1" s="7" t="s">
        <v>76</v>
      </c>
      <c r="P1" s="24" t="s">
        <v>89</v>
      </c>
      <c r="Q1" s="23" t="s">
        <v>90</v>
      </c>
      <c r="R1" s="23" t="s">
        <v>95</v>
      </c>
    </row>
    <row r="2" spans="1:18" x14ac:dyDescent="0.25">
      <c r="A2" s="2">
        <v>301</v>
      </c>
      <c r="B2" s="2" t="s">
        <v>11</v>
      </c>
      <c r="C2" s="2" t="s">
        <v>12</v>
      </c>
      <c r="D2" s="2" t="s">
        <v>13</v>
      </c>
      <c r="E2" s="2">
        <v>2</v>
      </c>
      <c r="F2" s="2">
        <v>45000</v>
      </c>
      <c r="G2" s="17" t="s">
        <v>14</v>
      </c>
      <c r="H2" s="18">
        <f>E2*F2</f>
        <v>90000</v>
      </c>
      <c r="I2" s="18">
        <f>VLOOKUP(D2,Product_Master!$A$1:$C$4,3,0)</f>
        <v>0.18</v>
      </c>
      <c r="J2" s="19">
        <f>I2*H2</f>
        <v>16200</v>
      </c>
      <c r="K2" s="20">
        <f>H2+J2</f>
        <v>106200</v>
      </c>
      <c r="L2" s="20">
        <f>SUM(H8,K8)</f>
        <v>520200</v>
      </c>
      <c r="M2" s="20">
        <f>COUNTA(A2:A7)</f>
        <v>6</v>
      </c>
      <c r="N2" s="21" t="str" cm="1">
        <f t="array" ref="N2:N7">TEXT(G2:G7,"MMM")</f>
        <v>Jan</v>
      </c>
      <c r="O2" s="20" t="str">
        <f>IF(E2&gt;3,"High",IF(E2&lt;=3,"Low"))</f>
        <v>Low</v>
      </c>
      <c r="P2" s="12">
        <f>MAX(K2:K7)</f>
        <v>106200</v>
      </c>
      <c r="Q2" s="12">
        <f>MIN(K2:K7)</f>
        <v>53100</v>
      </c>
      <c r="R2" t="str">
        <f>LEFT(Sales_Data!C2,2)</f>
        <v>Am</v>
      </c>
    </row>
    <row r="3" spans="1:18" x14ac:dyDescent="0.25">
      <c r="A3" s="4">
        <v>302</v>
      </c>
      <c r="B3" s="4" t="s">
        <v>15</v>
      </c>
      <c r="C3" s="4" t="s">
        <v>16</v>
      </c>
      <c r="D3" s="4" t="s">
        <v>17</v>
      </c>
      <c r="E3" s="4">
        <v>5</v>
      </c>
      <c r="F3" s="4">
        <v>15000</v>
      </c>
      <c r="G3" s="15" t="s">
        <v>84</v>
      </c>
      <c r="H3" s="8">
        <f>E3*F3</f>
        <v>75000</v>
      </c>
      <c r="I3" s="8">
        <f>VLOOKUP(D3,Product_Master!$A$1:$C$4,3,0)</f>
        <v>0.12</v>
      </c>
      <c r="J3" s="9">
        <f>I3*H3</f>
        <v>9000</v>
      </c>
      <c r="K3" s="20">
        <f>H3+J3</f>
        <v>84000</v>
      </c>
      <c r="N3" s="16" t="str">
        <v>Jan</v>
      </c>
      <c r="O3" s="12" t="str">
        <f>IF(E3&gt;3,"High",IF(E3&lt;=3,"Low"))</f>
        <v>High</v>
      </c>
      <c r="R3" t="str">
        <f>LEFT(Sales_Data!C3,2)</f>
        <v>Ri</v>
      </c>
    </row>
    <row r="4" spans="1:18" x14ac:dyDescent="0.25">
      <c r="A4" s="4">
        <v>303</v>
      </c>
      <c r="B4" s="4" t="s">
        <v>18</v>
      </c>
      <c r="C4" s="4" t="s">
        <v>19</v>
      </c>
      <c r="D4" s="4" t="s">
        <v>20</v>
      </c>
      <c r="E4" s="4">
        <v>3</v>
      </c>
      <c r="F4" s="4">
        <v>18000</v>
      </c>
      <c r="G4" s="15" t="s">
        <v>85</v>
      </c>
      <c r="H4" s="8">
        <f>E4*F4</f>
        <v>54000</v>
      </c>
      <c r="I4" s="8">
        <f>VLOOKUP(D4,Product_Master!$A$1:$C$4,3,0)</f>
        <v>0.12</v>
      </c>
      <c r="J4" s="9">
        <f>I4*H4</f>
        <v>6480</v>
      </c>
      <c r="K4" s="20">
        <f>H4+J4</f>
        <v>60480</v>
      </c>
      <c r="N4" s="16" t="str">
        <v>Jan</v>
      </c>
      <c r="O4" s="12" t="str">
        <f>IF(E4&gt;3,"High",IF(E4&lt;=3,"Low"))</f>
        <v>Low</v>
      </c>
      <c r="R4" t="str">
        <f>LEFT(Sales_Data!C4,2)</f>
        <v>Ku</v>
      </c>
    </row>
    <row r="5" spans="1:18" x14ac:dyDescent="0.25">
      <c r="A5" s="4">
        <v>304</v>
      </c>
      <c r="B5" s="4" t="s">
        <v>21</v>
      </c>
      <c r="C5" s="4" t="s">
        <v>22</v>
      </c>
      <c r="D5" s="4" t="s">
        <v>13</v>
      </c>
      <c r="E5" s="4">
        <v>1</v>
      </c>
      <c r="F5" s="4">
        <v>45000</v>
      </c>
      <c r="G5" s="15" t="s">
        <v>86</v>
      </c>
      <c r="H5" s="8">
        <f>E5*F5</f>
        <v>45000</v>
      </c>
      <c r="I5" s="8">
        <f>VLOOKUP(D5,Product_Master!$A$1:$C$4,3,0)</f>
        <v>0.18</v>
      </c>
      <c r="J5" s="9">
        <f>I5*H5</f>
        <v>8100</v>
      </c>
      <c r="K5" s="20">
        <f>H5+J5</f>
        <v>53100</v>
      </c>
      <c r="N5" s="16" t="str">
        <v>Jan</v>
      </c>
      <c r="O5" s="12" t="str">
        <f>IF(E5&gt;3,"High",IF(E5&lt;=3,"Low"))</f>
        <v>Low</v>
      </c>
      <c r="R5" t="str">
        <f>LEFT(Sales_Data!C5,2)</f>
        <v>Ne</v>
      </c>
    </row>
    <row r="6" spans="1:18" x14ac:dyDescent="0.25">
      <c r="A6" s="4">
        <v>305</v>
      </c>
      <c r="B6" s="4" t="s">
        <v>11</v>
      </c>
      <c r="C6" s="4" t="s">
        <v>12</v>
      </c>
      <c r="D6" s="4" t="s">
        <v>17</v>
      </c>
      <c r="E6" s="4">
        <v>4</v>
      </c>
      <c r="F6" s="4">
        <v>15000</v>
      </c>
      <c r="G6" s="15" t="s">
        <v>87</v>
      </c>
      <c r="H6" s="8">
        <f>E6*F6</f>
        <v>60000</v>
      </c>
      <c r="I6" s="8">
        <f>VLOOKUP(D6,Product_Master!$A$1:$C$4,3,0)</f>
        <v>0.12</v>
      </c>
      <c r="J6" s="9">
        <f>I6*H6</f>
        <v>7200</v>
      </c>
      <c r="K6" s="20">
        <f>H6+J6</f>
        <v>67200</v>
      </c>
      <c r="N6" s="16" t="str">
        <v>Jan</v>
      </c>
      <c r="O6" s="12" t="str">
        <f>IF(E6&gt;3,"High",IF(E6&lt;=3,"Low"))</f>
        <v>High</v>
      </c>
      <c r="R6" t="str">
        <f>LEFT(Sales_Data!C6,2)</f>
        <v>Am</v>
      </c>
    </row>
    <row r="7" spans="1:18" x14ac:dyDescent="0.25">
      <c r="A7" s="4">
        <v>306</v>
      </c>
      <c r="B7" s="4" t="s">
        <v>15</v>
      </c>
      <c r="C7" s="4" t="s">
        <v>16</v>
      </c>
      <c r="D7" s="4" t="s">
        <v>13</v>
      </c>
      <c r="E7" s="4">
        <v>2</v>
      </c>
      <c r="F7" s="4">
        <v>45000</v>
      </c>
      <c r="G7" s="15" t="s">
        <v>88</v>
      </c>
      <c r="H7" s="8">
        <f>E7*F7</f>
        <v>90000</v>
      </c>
      <c r="I7" s="8">
        <f>VLOOKUP(D7,Product_Master!$A$1:$C$4,3,0)</f>
        <v>0.18</v>
      </c>
      <c r="J7" s="10">
        <f>I7*H7</f>
        <v>16200</v>
      </c>
      <c r="K7" s="20">
        <f>H7+J7</f>
        <v>106200</v>
      </c>
      <c r="N7" s="16" t="str">
        <v>Jan</v>
      </c>
      <c r="O7" s="12" t="str">
        <f>IF(E7&gt;3,"High",IF(E7&lt;=3,"Low"))</f>
        <v>Low</v>
      </c>
      <c r="R7" t="str">
        <f>LEFT(Sales_Data!C7,2)</f>
        <v>Ri</v>
      </c>
    </row>
    <row r="8" spans="1:18" x14ac:dyDescent="0.25">
      <c r="A8" s="4"/>
      <c r="B8" s="4"/>
      <c r="C8" s="4"/>
      <c r="D8" s="4"/>
      <c r="E8" s="4"/>
      <c r="F8" s="4"/>
      <c r="G8" s="12" t="s">
        <v>69</v>
      </c>
      <c r="H8" s="10">
        <f>SUM(H2:H7)</f>
        <v>414000</v>
      </c>
      <c r="I8" s="12"/>
      <c r="J8" s="10">
        <f>SUM(J2:J7)</f>
        <v>63180</v>
      </c>
      <c r="K8" s="22">
        <f>SUM(K7:K7)</f>
        <v>106200</v>
      </c>
      <c r="L8" s="3"/>
      <c r="M8" s="3"/>
      <c r="N8" s="3"/>
      <c r="O8" s="12" t="str">
        <f>IF(E8&gt;3,"High",IF(E8&lt;=3,"Low"))</f>
        <v>Low</v>
      </c>
    </row>
    <row r="10" spans="1:18" x14ac:dyDescent="0.25">
      <c r="L10" s="1"/>
    </row>
    <row r="11" spans="1:18" x14ac:dyDescent="0.25">
      <c r="C11" s="14" t="s">
        <v>77</v>
      </c>
      <c r="D11" s="14" t="s">
        <v>78</v>
      </c>
    </row>
    <row r="12" spans="1:18" x14ac:dyDescent="0.25">
      <c r="C12" s="12" t="s">
        <v>79</v>
      </c>
      <c r="D12" s="12">
        <f>SUMIF($B$2:$B$7,C12,$H$2:$H$7)</f>
        <v>150000</v>
      </c>
      <c r="I12" t="s">
        <v>72</v>
      </c>
    </row>
    <row r="13" spans="1:18" x14ac:dyDescent="0.25">
      <c r="C13" s="12" t="s">
        <v>82</v>
      </c>
      <c r="D13" s="12">
        <f t="shared" ref="D13:D15" si="0">SUMIF($B$2:$B$7,C13,$H$2:$H$7)</f>
        <v>165000</v>
      </c>
    </row>
    <row r="14" spans="1:18" x14ac:dyDescent="0.25">
      <c r="C14" s="12" t="s">
        <v>80</v>
      </c>
      <c r="D14" s="12">
        <f t="shared" si="0"/>
        <v>54000</v>
      </c>
    </row>
    <row r="15" spans="1:18" x14ac:dyDescent="0.25">
      <c r="C15" s="12" t="s">
        <v>81</v>
      </c>
      <c r="D15" s="12">
        <f t="shared" si="0"/>
        <v>45000</v>
      </c>
    </row>
  </sheetData>
  <autoFilter ref="K1:K7" xr:uid="{00000000-0001-0000-0100-000000000000}">
    <sortState xmlns:xlrd2="http://schemas.microsoft.com/office/spreadsheetml/2017/richdata2" ref="K2:K8">
      <sortCondition descending="1" ref="K1:K7"/>
    </sortState>
  </autoFilter>
  <sortState xmlns:xlrd2="http://schemas.microsoft.com/office/spreadsheetml/2017/richdata2" ref="K2:K7">
    <sortCondition descending="1" ref="K2:K7"/>
  </sortState>
  <phoneticPr fontId="1" type="noConversion"/>
  <conditionalFormatting sqref="K2:K7">
    <cfRule type="cellIs" dxfId="0" priority="1" operator="greaterThan">
      <formula>60000</formula>
    </cfRule>
  </conditionalFormatting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G2" sqref="G2"/>
    </sheetView>
  </sheetViews>
  <sheetFormatPr defaultRowHeight="15" x14ac:dyDescent="0.25"/>
  <cols>
    <col min="1" max="1" width="10.85546875" customWidth="1"/>
    <col min="2" max="2" width="11.85546875" customWidth="1"/>
  </cols>
  <sheetData>
    <row r="1" spans="1:3" x14ac:dyDescent="0.25">
      <c r="A1" t="s">
        <v>7</v>
      </c>
      <c r="B1" t="s">
        <v>23</v>
      </c>
      <c r="C1" t="s">
        <v>24</v>
      </c>
    </row>
    <row r="2" spans="1:3" x14ac:dyDescent="0.25">
      <c r="A2" t="s">
        <v>13</v>
      </c>
      <c r="B2" t="s">
        <v>25</v>
      </c>
      <c r="C2" s="13">
        <v>0.18</v>
      </c>
    </row>
    <row r="3" spans="1:3" x14ac:dyDescent="0.25">
      <c r="A3" t="s">
        <v>17</v>
      </c>
      <c r="B3" t="s">
        <v>25</v>
      </c>
      <c r="C3" s="13">
        <v>0.12</v>
      </c>
    </row>
    <row r="4" spans="1:3" x14ac:dyDescent="0.25">
      <c r="A4" t="s">
        <v>20</v>
      </c>
      <c r="B4" t="s">
        <v>25</v>
      </c>
      <c r="C4" s="13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selection activeCell="E10" sqref="E10"/>
    </sheetView>
  </sheetViews>
  <sheetFormatPr defaultRowHeight="15" x14ac:dyDescent="0.25"/>
  <cols>
    <col min="1" max="1" width="10.42578125" customWidth="1"/>
    <col min="6" max="6" width="13.7109375" customWidth="1"/>
    <col min="8" max="8" width="14" customWidth="1"/>
  </cols>
  <sheetData>
    <row r="1" spans="1:8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>
        <v>14</v>
      </c>
      <c r="H1" t="s">
        <v>94</v>
      </c>
    </row>
    <row r="2" spans="1:8" x14ac:dyDescent="0.25">
      <c r="A2">
        <v>1</v>
      </c>
      <c r="B2" t="s">
        <v>32</v>
      </c>
      <c r="C2">
        <v>78</v>
      </c>
      <c r="D2">
        <v>82</v>
      </c>
      <c r="E2">
        <v>85</v>
      </c>
      <c r="F2">
        <v>92</v>
      </c>
      <c r="G2">
        <f>COUNTIF(Student_Marks!F2:F6,"&gt;90")</f>
        <v>3</v>
      </c>
      <c r="H2" t="str">
        <f>_xlfn.CONCAT(A2:B2)</f>
        <v>1Rahul</v>
      </c>
    </row>
    <row r="3" spans="1:8" x14ac:dyDescent="0.25">
      <c r="A3">
        <v>2</v>
      </c>
      <c r="B3" t="s">
        <v>33</v>
      </c>
      <c r="C3">
        <v>88</v>
      </c>
      <c r="D3">
        <v>91</v>
      </c>
      <c r="E3">
        <v>90</v>
      </c>
      <c r="F3">
        <v>96</v>
      </c>
      <c r="H3" t="str">
        <f t="shared" ref="H3:H6" si="0">_xlfn.CONCAT(A3:B3)</f>
        <v>2Sneha</v>
      </c>
    </row>
    <row r="4" spans="1:8" x14ac:dyDescent="0.25">
      <c r="A4">
        <v>3</v>
      </c>
      <c r="B4" t="s">
        <v>34</v>
      </c>
      <c r="C4">
        <v>65</v>
      </c>
      <c r="D4">
        <v>70</v>
      </c>
      <c r="E4">
        <v>72</v>
      </c>
      <c r="F4">
        <v>85</v>
      </c>
      <c r="H4" t="str">
        <f t="shared" si="0"/>
        <v>3Arjun</v>
      </c>
    </row>
    <row r="5" spans="1:8" x14ac:dyDescent="0.25">
      <c r="A5">
        <v>4</v>
      </c>
      <c r="B5" t="s">
        <v>35</v>
      </c>
      <c r="C5">
        <v>92</v>
      </c>
      <c r="D5">
        <v>89</v>
      </c>
      <c r="E5">
        <v>94</v>
      </c>
      <c r="F5">
        <v>98</v>
      </c>
      <c r="H5" t="str">
        <f t="shared" si="0"/>
        <v>4Pooja</v>
      </c>
    </row>
    <row r="6" spans="1:8" x14ac:dyDescent="0.25">
      <c r="A6">
        <v>5</v>
      </c>
      <c r="B6" t="s">
        <v>36</v>
      </c>
      <c r="C6">
        <v>55</v>
      </c>
      <c r="D6">
        <v>60</v>
      </c>
      <c r="E6">
        <v>58</v>
      </c>
      <c r="F6">
        <v>80</v>
      </c>
      <c r="H6" t="str">
        <f t="shared" si="0"/>
        <v>5Vikas</v>
      </c>
    </row>
    <row r="7" spans="1:8" x14ac:dyDescent="0.25">
      <c r="A7" t="s">
        <v>91</v>
      </c>
      <c r="C7">
        <f>SUM(C2:C6)</f>
        <v>378</v>
      </c>
      <c r="D7">
        <f>SUM(D2:D6)</f>
        <v>392</v>
      </c>
      <c r="E7">
        <f>SUM(E2:E6)</f>
        <v>399</v>
      </c>
    </row>
    <row r="8" spans="1:8" x14ac:dyDescent="0.25">
      <c r="A8" t="s">
        <v>92</v>
      </c>
      <c r="C8">
        <f>AVERAGE(C2:C6)</f>
        <v>75.599999999999994</v>
      </c>
      <c r="D8">
        <f>AVERAGE(D2:D6)</f>
        <v>78.400000000000006</v>
      </c>
      <c r="E8" s="11">
        <f>AVERAGE(E2:E6)</f>
        <v>79.8</v>
      </c>
    </row>
    <row r="9" spans="1:8" x14ac:dyDescent="0.25">
      <c r="A9" t="s">
        <v>93</v>
      </c>
      <c r="D9">
        <f>MEDIAN(D2:D6)</f>
        <v>82</v>
      </c>
    </row>
    <row r="10" spans="1:8" x14ac:dyDescent="0.25">
      <c r="A10" t="s">
        <v>96</v>
      </c>
    </row>
    <row r="12" spans="1:8" x14ac:dyDescent="0.25">
      <c r="C12">
        <v>15</v>
      </c>
      <c r="D12" t="str" cm="1">
        <f t="array" ref="D12:D16">IF(F2:F6&gt;=85,"Eligible","Not Eligible")</f>
        <v>Eligible</v>
      </c>
    </row>
    <row r="13" spans="1:8" x14ac:dyDescent="0.25">
      <c r="D13" t="str">
        <v>Eligible</v>
      </c>
    </row>
    <row r="14" spans="1:8" x14ac:dyDescent="0.25">
      <c r="D14" t="str">
        <v>Eligible</v>
      </c>
    </row>
    <row r="15" spans="1:8" x14ac:dyDescent="0.25">
      <c r="D15" t="str">
        <v>Eligible</v>
      </c>
    </row>
    <row r="16" spans="1:8" x14ac:dyDescent="0.25">
      <c r="D16" t="str">
        <v>Not Eligible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>
      <selection activeCell="C10" sqref="C10"/>
    </sheetView>
  </sheetViews>
  <sheetFormatPr defaultRowHeight="15" x14ac:dyDescent="0.25"/>
  <sheetData>
    <row r="1" spans="1:10" s="11" customFormat="1" x14ac:dyDescent="0.25">
      <c r="A1" s="11" t="s">
        <v>37</v>
      </c>
      <c r="J1" s="11">
        <v>2</v>
      </c>
    </row>
    <row r="2" spans="1:10" s="11" customFormat="1" x14ac:dyDescent="0.25">
      <c r="A2" s="11" t="s">
        <v>38</v>
      </c>
      <c r="J2" s="11">
        <v>2</v>
      </c>
    </row>
    <row r="3" spans="1:10" s="11" customFormat="1" x14ac:dyDescent="0.25">
      <c r="A3" s="11" t="s">
        <v>39</v>
      </c>
      <c r="J3" s="11">
        <v>2</v>
      </c>
    </row>
    <row r="4" spans="1:10" s="11" customFormat="1" x14ac:dyDescent="0.25">
      <c r="A4" s="11" t="s">
        <v>40</v>
      </c>
      <c r="J4" s="11">
        <v>2</v>
      </c>
    </row>
    <row r="5" spans="1:10" s="11" customFormat="1" x14ac:dyDescent="0.25">
      <c r="A5" s="11" t="s">
        <v>41</v>
      </c>
      <c r="J5" s="11">
        <v>2</v>
      </c>
    </row>
    <row r="6" spans="1:10" s="11" customFormat="1" x14ac:dyDescent="0.25">
      <c r="A6" s="11" t="s">
        <v>42</v>
      </c>
      <c r="J6" s="11">
        <v>2</v>
      </c>
    </row>
    <row r="7" spans="1:10" s="11" customFormat="1" x14ac:dyDescent="0.25">
      <c r="A7" s="11" t="s">
        <v>43</v>
      </c>
      <c r="J7" s="11">
        <v>2</v>
      </c>
    </row>
    <row r="8" spans="1:10" s="11" customFormat="1" x14ac:dyDescent="0.25">
      <c r="A8" s="11" t="s">
        <v>44</v>
      </c>
      <c r="J8" s="11">
        <v>2</v>
      </c>
    </row>
    <row r="9" spans="1:10" s="11" customFormat="1" x14ac:dyDescent="0.25">
      <c r="A9" s="11" t="s">
        <v>45</v>
      </c>
      <c r="J9" s="11">
        <v>2</v>
      </c>
    </row>
    <row r="10" spans="1:10" x14ac:dyDescent="0.25">
      <c r="A10" t="s">
        <v>46</v>
      </c>
      <c r="J10">
        <v>2</v>
      </c>
    </row>
    <row r="11" spans="1:10" x14ac:dyDescent="0.25">
      <c r="A11" t="s">
        <v>47</v>
      </c>
      <c r="J11">
        <v>2</v>
      </c>
    </row>
    <row r="12" spans="1:10" s="11" customFormat="1" x14ac:dyDescent="0.25">
      <c r="A12" s="11" t="s">
        <v>48</v>
      </c>
      <c r="J12" s="11">
        <v>2</v>
      </c>
    </row>
    <row r="13" spans="1:10" s="11" customFormat="1" x14ac:dyDescent="0.25">
      <c r="A13" s="11" t="s">
        <v>49</v>
      </c>
      <c r="J13" s="11">
        <v>2</v>
      </c>
    </row>
    <row r="14" spans="1:10" s="11" customFormat="1" x14ac:dyDescent="0.25">
      <c r="A14" s="11" t="s">
        <v>50</v>
      </c>
      <c r="J14" s="11">
        <v>2</v>
      </c>
    </row>
    <row r="15" spans="1:10" s="11" customFormat="1" x14ac:dyDescent="0.25">
      <c r="A15" s="11" t="s">
        <v>51</v>
      </c>
      <c r="J15" s="11">
        <v>2</v>
      </c>
    </row>
    <row r="16" spans="1:10" x14ac:dyDescent="0.25">
      <c r="A16" t="s">
        <v>52</v>
      </c>
      <c r="J16">
        <v>2</v>
      </c>
    </row>
    <row r="17" spans="1:10" x14ac:dyDescent="0.25">
      <c r="A17" t="s">
        <v>53</v>
      </c>
      <c r="J17">
        <v>2</v>
      </c>
    </row>
    <row r="18" spans="1:10" x14ac:dyDescent="0.25">
      <c r="A18" t="s">
        <v>54</v>
      </c>
      <c r="J18">
        <v>2</v>
      </c>
    </row>
    <row r="19" spans="1:10" x14ac:dyDescent="0.25">
      <c r="A19" t="s">
        <v>55</v>
      </c>
      <c r="J19">
        <v>2</v>
      </c>
    </row>
    <row r="20" spans="1:10" s="11" customFormat="1" x14ac:dyDescent="0.25">
      <c r="A20" s="11" t="s">
        <v>56</v>
      </c>
      <c r="J20" s="11">
        <v>2</v>
      </c>
    </row>
    <row r="21" spans="1:10" x14ac:dyDescent="0.25">
      <c r="A21" t="s">
        <v>57</v>
      </c>
      <c r="J21">
        <v>2</v>
      </c>
    </row>
    <row r="22" spans="1:10" s="11" customFormat="1" x14ac:dyDescent="0.25">
      <c r="A22" s="11" t="s">
        <v>58</v>
      </c>
      <c r="J22" s="11">
        <v>2</v>
      </c>
    </row>
    <row r="23" spans="1:10" s="11" customFormat="1" x14ac:dyDescent="0.25">
      <c r="A23" s="11" t="s">
        <v>59</v>
      </c>
      <c r="J23" s="11">
        <v>2</v>
      </c>
    </row>
    <row r="24" spans="1:10" s="11" customFormat="1" x14ac:dyDescent="0.25">
      <c r="A24" s="11" t="s">
        <v>60</v>
      </c>
      <c r="J24" s="11">
        <v>2</v>
      </c>
    </row>
    <row r="25" spans="1:10" x14ac:dyDescent="0.25">
      <c r="A25" t="s">
        <v>61</v>
      </c>
      <c r="J25">
        <v>2</v>
      </c>
    </row>
    <row r="26" spans="1:10" x14ac:dyDescent="0.25">
      <c r="A26" t="s">
        <v>62</v>
      </c>
      <c r="J26">
        <v>2</v>
      </c>
    </row>
    <row r="27" spans="1:10" x14ac:dyDescent="0.25">
      <c r="A27" t="s">
        <v>63</v>
      </c>
      <c r="J27">
        <v>2</v>
      </c>
    </row>
    <row r="28" spans="1:10" x14ac:dyDescent="0.25">
      <c r="A28" t="s">
        <v>64</v>
      </c>
      <c r="J28">
        <v>2</v>
      </c>
    </row>
    <row r="29" spans="1:10" x14ac:dyDescent="0.25">
      <c r="A29" t="s">
        <v>65</v>
      </c>
      <c r="J29">
        <v>2</v>
      </c>
    </row>
    <row r="30" spans="1:10" x14ac:dyDescent="0.25">
      <c r="A30" t="s">
        <v>66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Sheet1</vt:lpstr>
      <vt:lpstr>Sales_Data</vt:lpstr>
      <vt:lpstr>Product_Master</vt:lpstr>
      <vt:lpstr>Student_Marks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</cp:lastModifiedBy>
  <dcterms:created xsi:type="dcterms:W3CDTF">2025-12-20T09:26:06Z</dcterms:created>
  <dcterms:modified xsi:type="dcterms:W3CDTF">2026-05-24T11:14:08Z</dcterms:modified>
</cp:coreProperties>
</file>