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6193441d1dd507/Documents/"/>
    </mc:Choice>
  </mc:AlternateContent>
  <xr:revisionPtr revIDLastSave="0" documentId="8_{3917E4D1-A683-4CA6-818B-1D61E1B36886}" xr6:coauthVersionLast="47" xr6:coauthVersionMax="47" xr10:uidLastSave="{00000000-0000-0000-0000-000000000000}"/>
  <bookViews>
    <workbookView xWindow="-108" yWindow="-108" windowWidth="23256" windowHeight="13896" activeTab="9" xr2:uid="{74C1EA98-F867-4C1B-B262-24DB026FE4F9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7" l="1"/>
  <c r="F3" i="7"/>
  <c r="I2" i="6"/>
  <c r="I1" i="6"/>
  <c r="H8" i="5"/>
  <c r="G5" i="4"/>
  <c r="G4" i="4"/>
  <c r="G3" i="4"/>
  <c r="G2" i="4"/>
  <c r="F2" i="3"/>
  <c r="G2" i="3"/>
  <c r="F3" i="3"/>
  <c r="G3" i="3"/>
  <c r="F4" i="3"/>
  <c r="G4" i="3"/>
  <c r="F5" i="3"/>
  <c r="G5" i="3"/>
  <c r="F6" i="3"/>
  <c r="G6" i="3"/>
</calcChain>
</file>

<file path=xl/sharedStrings.xml><?xml version="1.0" encoding="utf-8"?>
<sst xmlns="http://schemas.openxmlformats.org/spreadsheetml/2006/main" count="146" uniqueCount="105">
  <si>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</si>
  <si>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</si>
  <si>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</si>
  <si>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</si>
  <si>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</si>
  <si>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</si>
  <si>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</si>
  <si>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</si>
  <si>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</si>
  <si>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</si>
  <si>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</si>
  <si>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</si>
  <si>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</si>
  <si>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</si>
  <si>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</si>
  <si>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</si>
  <si>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</si>
  <si>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</si>
  <si>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</si>
  <si>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</si>
  <si>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</si>
  <si>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</si>
  <si>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</si>
  <si>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</si>
  <si>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</si>
  <si>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</si>
  <si>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</si>
  <si>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</si>
  <si>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</si>
  <si>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</si>
  <si>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</si>
  <si>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</si>
  <si>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</si>
  <si>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</si>
  <si>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</si>
  <si>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</si>
  <si>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</si>
  <si>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</si>
  <si>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</si>
  <si>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</si>
  <si>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</si>
  <si>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</si>
  <si>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</si>
  <si>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</si>
  <si>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</si>
  <si>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</si>
  <si>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</si>
  <si>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</si>
  <si>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</si>
  <si>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</si>
  <si>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</si>
  <si>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</si>
  <si>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</si>
  <si>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Employee Name</t>
  </si>
  <si>
    <t>Suresh</t>
  </si>
  <si>
    <t>Meena</t>
  </si>
  <si>
    <t>Karan</t>
  </si>
  <si>
    <t>Ritu</t>
  </si>
  <si>
    <t>Aman</t>
  </si>
  <si>
    <t>Neel</t>
  </si>
  <si>
    <t>Day 1</t>
  </si>
  <si>
    <t>Day 2</t>
  </si>
  <si>
    <t>Day 3</t>
  </si>
  <si>
    <t>Day 4</t>
  </si>
  <si>
    <t>Day 5</t>
  </si>
  <si>
    <t>P</t>
  </si>
  <si>
    <t>A</t>
  </si>
  <si>
    <t>Order ID</t>
  </si>
  <si>
    <t>O101</t>
  </si>
  <si>
    <t>O102</t>
  </si>
  <si>
    <t>O103</t>
  </si>
  <si>
    <t>O104</t>
  </si>
  <si>
    <t>O105</t>
  </si>
  <si>
    <t>O106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</si>
  <si>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</si>
  <si>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</si>
  <si>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</si>
  <si>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</si>
  <si>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</si>
  <si>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</si>
  <si>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</si>
  <si>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</si>
  <si>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</si>
  <si>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</si>
  <si>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</si>
  <si>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</si>
  <si>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</si>
  <si>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</si>
  <si>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</si>
  <si>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</si>
  <si>
    <t>Monthly Sales Report</t>
  </si>
  <si>
    <t>Total</t>
  </si>
  <si>
    <t>Total Sales</t>
  </si>
  <si>
    <t>Average Sales</t>
  </si>
  <si>
    <t>Highest Sales</t>
  </si>
  <si>
    <t>Lowest Sales</t>
  </si>
  <si>
    <t>Total Salary Per Department</t>
  </si>
  <si>
    <t>HR:</t>
  </si>
  <si>
    <t>IT:</t>
  </si>
  <si>
    <t>Finance:</t>
  </si>
  <si>
    <t>No. of Employes:</t>
  </si>
  <si>
    <t>Average salary:</t>
  </si>
  <si>
    <t>Total Present</t>
  </si>
  <si>
    <t>Sales above 10,000</t>
  </si>
  <si>
    <t>Sales Below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</si>
</sst>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1F2328"/>
      <name val="Segoe UI"/>
      <family val="2"/>
    </font>
    <font>
      <b/>
      <sz val="13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8"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14" fontId="4" fillId="4" borderId="1" xfId="0" applyNumberFormat="1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14" fontId="4" fillId="5" borderId="1" xfId="0" applyNumberFormat="1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center" vertical="center" wrapText="1"/>
    </xf>
    <xf numFmtId="169" fontId="4" fillId="4" borderId="1" xfId="0" applyNumberFormat="1" applyFont="1" applyFill="1" applyBorder="1" applyAlignment="1">
      <alignment horizontal="left" vertical="center" wrapText="1" indent="1"/>
    </xf>
    <xf numFmtId="169" fontId="4" fillId="5" borderId="1" xfId="0" applyNumberFormat="1" applyFont="1" applyFill="1" applyBorder="1" applyAlignment="1">
      <alignment horizontal="left" vertical="center" wrapText="1" indent="1"/>
    </xf>
    <xf numFmtId="0" fontId="4" fillId="4" borderId="0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9" fontId="4" fillId="4" borderId="1" xfId="1" applyFont="1" applyFill="1" applyBorder="1" applyAlignment="1">
      <alignment horizontal="left" vertical="center" wrapText="1" indent="1"/>
    </xf>
    <xf numFmtId="0" fontId="1" fillId="3" borderId="1" xfId="3" applyBorder="1" applyAlignment="1">
      <alignment horizontal="center" vertical="center" wrapText="1"/>
    </xf>
    <xf numFmtId="0" fontId="0" fillId="0" borderId="1" xfId="0" applyBorder="1"/>
    <xf numFmtId="0" fontId="2" fillId="2" borderId="1" xfId="2" applyBorder="1"/>
    <xf numFmtId="0" fontId="9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 indent="1"/>
    </xf>
    <xf numFmtId="0" fontId="3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0" borderId="1" xfId="0" applyBorder="1" applyAlignment="1">
      <alignment horizontal="center"/>
    </xf>
  </cellXfs>
  <cellStyles count="4">
    <cellStyle name="60% - Accent6" xfId="3" builtinId="52"/>
    <cellStyle name="Accent6" xfId="2" builtinId="49"/>
    <cellStyle name="Normal" xfId="0" builtinId="0"/>
    <cellStyle name="Percent" xfId="1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08FE-F8E5-45D1-9F8D-2FDBCD30C22A}">
  <dimension ref="A1:E20"/>
  <sheetViews>
    <sheetView zoomScale="137" workbookViewId="0">
      <selection activeCell="E12" sqref="E12"/>
    </sheetView>
  </sheetViews>
  <sheetFormatPr defaultRowHeight="14.4" x14ac:dyDescent="0.3"/>
  <cols>
    <col min="1" max="1" width="11.88671875" customWidth="1"/>
    <col min="2" max="2" width="8.77734375" bestFit="1" customWidth="1"/>
    <col min="3" max="3" width="15.109375" customWidth="1"/>
    <col min="4" max="4" width="11.77734375" bestFit="1" customWidth="1"/>
    <col min="5" max="5" width="13.6640625" customWidth="1"/>
  </cols>
  <sheetData>
    <row r="1" spans="1:5" ht="3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30" x14ac:dyDescent="0.3">
      <c r="A2" s="1" t="s">
        <v>5</v>
      </c>
      <c r="B2" s="1" t="s">
        <v>6</v>
      </c>
      <c r="C2" s="1" t="s">
        <v>7</v>
      </c>
      <c r="D2" s="6">
        <v>32000</v>
      </c>
      <c r="E2" s="2">
        <v>44573</v>
      </c>
    </row>
    <row r="3" spans="1:5" ht="30" x14ac:dyDescent="0.3">
      <c r="A3" s="3" t="s">
        <v>8</v>
      </c>
      <c r="B3" s="3" t="s">
        <v>9</v>
      </c>
      <c r="C3" s="3" t="s">
        <v>10</v>
      </c>
      <c r="D3" s="7">
        <v>45000</v>
      </c>
      <c r="E3" s="4">
        <v>44260</v>
      </c>
    </row>
    <row r="4" spans="1:5" ht="30" x14ac:dyDescent="0.3">
      <c r="A4" s="1" t="s">
        <v>11</v>
      </c>
      <c r="B4" s="1" t="s">
        <v>12</v>
      </c>
      <c r="C4" s="1" t="s">
        <v>13</v>
      </c>
      <c r="D4" s="6">
        <v>38000</v>
      </c>
      <c r="E4" s="2">
        <v>44030</v>
      </c>
    </row>
    <row r="5" spans="1:5" ht="30" x14ac:dyDescent="0.3">
      <c r="A5" s="3" t="s">
        <v>14</v>
      </c>
      <c r="B5" s="3" t="s">
        <v>15</v>
      </c>
      <c r="C5" s="3" t="s">
        <v>10</v>
      </c>
      <c r="D5" s="7">
        <v>52000</v>
      </c>
      <c r="E5" s="4">
        <v>43779</v>
      </c>
    </row>
    <row r="6" spans="1:5" ht="30" x14ac:dyDescent="0.3">
      <c r="A6" s="1" t="s">
        <v>16</v>
      </c>
      <c r="B6" s="1" t="s">
        <v>17</v>
      </c>
      <c r="C6" s="1" t="s">
        <v>18</v>
      </c>
      <c r="D6" s="6">
        <v>30000</v>
      </c>
      <c r="E6" s="2">
        <v>45102</v>
      </c>
    </row>
    <row r="7" spans="1:5" ht="15" x14ac:dyDescent="0.3">
      <c r="A7" s="8"/>
    </row>
    <row r="8" spans="1:5" ht="15" x14ac:dyDescent="0.3">
      <c r="A8" s="8"/>
    </row>
    <row r="9" spans="1:5" ht="15" x14ac:dyDescent="0.3">
      <c r="A9" s="8"/>
    </row>
    <row r="10" spans="1:5" ht="15" x14ac:dyDescent="0.3">
      <c r="A10" s="8"/>
    </row>
    <row r="11" spans="1:5" ht="15" x14ac:dyDescent="0.3">
      <c r="A11" s="8"/>
    </row>
    <row r="12" spans="1:5" ht="15" x14ac:dyDescent="0.3">
      <c r="A12" s="8"/>
    </row>
    <row r="13" spans="1:5" ht="15" x14ac:dyDescent="0.3">
      <c r="A13" s="8"/>
    </row>
    <row r="14" spans="1:5" ht="15" x14ac:dyDescent="0.3">
      <c r="A14" s="8"/>
    </row>
    <row r="15" spans="1:5" ht="15" x14ac:dyDescent="0.3">
      <c r="A15" s="8"/>
    </row>
    <row r="16" spans="1:5" ht="15" x14ac:dyDescent="0.3">
      <c r="A16" s="8"/>
    </row>
    <row r="17" spans="1:1" ht="15" x14ac:dyDescent="0.3">
      <c r="A17" s="8"/>
    </row>
    <row r="18" spans="1:1" ht="15" x14ac:dyDescent="0.3">
      <c r="A18" s="8"/>
    </row>
    <row r="19" spans="1:1" ht="15" x14ac:dyDescent="0.3">
      <c r="A19" s="8"/>
    </row>
    <row r="20" spans="1:1" ht="15" x14ac:dyDescent="0.3">
      <c r="A20" s="8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87D8-6688-45C7-AA97-AEDE819573D0}">
  <dimension ref="A1:D6"/>
  <sheetViews>
    <sheetView workbookViewId="0">
      <selection activeCell="E11" sqref="E11"/>
    </sheetView>
  </sheetViews>
  <sheetFormatPr defaultRowHeight="14.4" x14ac:dyDescent="0.3"/>
  <cols>
    <col min="1" max="1" width="41.21875" customWidth="1"/>
    <col min="2" max="2" width="16.88671875" customWidth="1"/>
    <col min="3" max="3" width="15.109375" customWidth="1"/>
    <col min="4" max="4" width="15.44140625" customWidth="1"/>
  </cols>
  <sheetData>
    <row r="1" spans="1:4" ht="23.4" x14ac:dyDescent="0.45">
      <c r="A1" s="9" t="s">
        <v>90</v>
      </c>
      <c r="B1" s="9"/>
      <c r="C1" s="9"/>
      <c r="D1" s="9"/>
    </row>
    <row r="2" spans="1:4" ht="15" x14ac:dyDescent="0.3">
      <c r="A2" s="11" t="s">
        <v>19</v>
      </c>
      <c r="B2" s="10" t="s">
        <v>20</v>
      </c>
      <c r="C2" s="10" t="s">
        <v>21</v>
      </c>
      <c r="D2" s="10" t="s">
        <v>22</v>
      </c>
    </row>
    <row r="3" spans="1:4" ht="15" x14ac:dyDescent="0.3">
      <c r="A3" s="12" t="s">
        <v>23</v>
      </c>
      <c r="B3" s="1" t="s">
        <v>24</v>
      </c>
      <c r="C3" s="6">
        <v>45000</v>
      </c>
      <c r="D3" s="1" t="s">
        <v>25</v>
      </c>
    </row>
    <row r="4" spans="1:4" ht="15" x14ac:dyDescent="0.3">
      <c r="A4" s="3" t="s">
        <v>26</v>
      </c>
      <c r="B4" s="3" t="s">
        <v>27</v>
      </c>
      <c r="C4" s="7">
        <v>1200</v>
      </c>
      <c r="D4" s="3" t="s">
        <v>28</v>
      </c>
    </row>
    <row r="5" spans="1:4" ht="15" x14ac:dyDescent="0.3">
      <c r="A5" s="12" t="s">
        <v>29</v>
      </c>
      <c r="B5" s="1" t="s">
        <v>30</v>
      </c>
      <c r="C5" s="6">
        <v>18000</v>
      </c>
      <c r="D5" s="1" t="s">
        <v>31</v>
      </c>
    </row>
    <row r="6" spans="1:4" ht="15" x14ac:dyDescent="0.3">
      <c r="A6" s="13" t="s">
        <v>32</v>
      </c>
      <c r="B6" s="3" t="s">
        <v>33</v>
      </c>
      <c r="C6" s="7">
        <v>62000</v>
      </c>
      <c r="D6" s="3" t="s">
        <v>34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FBE2-93DB-4B42-B612-0A827570027F}">
  <dimension ref="A1:G6"/>
  <sheetViews>
    <sheetView workbookViewId="0">
      <selection activeCell="G2" sqref="G2"/>
    </sheetView>
  </sheetViews>
  <sheetFormatPr defaultRowHeight="14.4" x14ac:dyDescent="0.3"/>
  <cols>
    <col min="2" max="2" width="11.6640625" customWidth="1"/>
    <col min="6" max="6" width="14.6640625" customWidth="1"/>
    <col min="7" max="7" width="18.44140625" customWidth="1"/>
  </cols>
  <sheetData>
    <row r="1" spans="1:7" ht="28.8" x14ac:dyDescent="0.3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91</v>
      </c>
      <c r="G1" s="15" t="s">
        <v>40</v>
      </c>
    </row>
    <row r="2" spans="1:7" ht="15" x14ac:dyDescent="0.3">
      <c r="A2" s="1">
        <v>1</v>
      </c>
      <c r="B2" s="1" t="s">
        <v>41</v>
      </c>
      <c r="C2" s="1">
        <v>78</v>
      </c>
      <c r="D2" s="1">
        <v>82</v>
      </c>
      <c r="E2" s="1">
        <v>74</v>
      </c>
      <c r="F2" s="1">
        <f>SUBTOTAL(9,C2:E2)</f>
        <v>234</v>
      </c>
      <c r="G2" s="14">
        <f>F2/300</f>
        <v>0.78</v>
      </c>
    </row>
    <row r="3" spans="1:7" ht="15" x14ac:dyDescent="0.3">
      <c r="A3" s="3">
        <v>2</v>
      </c>
      <c r="B3" s="3" t="s">
        <v>42</v>
      </c>
      <c r="C3" s="3">
        <v>65</v>
      </c>
      <c r="D3" s="3">
        <v>70</v>
      </c>
      <c r="E3" s="3">
        <v>68</v>
      </c>
      <c r="F3" s="1">
        <f t="shared" ref="F3:F6" si="0">SUBTOTAL(9,C3:E3)</f>
        <v>203</v>
      </c>
      <c r="G3" s="14">
        <f t="shared" ref="G3:G6" si="1">F3/300</f>
        <v>0.67666666666666664</v>
      </c>
    </row>
    <row r="4" spans="1:7" ht="15" x14ac:dyDescent="0.3">
      <c r="A4" s="1">
        <v>3</v>
      </c>
      <c r="B4" s="1" t="s">
        <v>43</v>
      </c>
      <c r="C4" s="1">
        <v>90</v>
      </c>
      <c r="D4" s="1">
        <v>88</v>
      </c>
      <c r="E4" s="1">
        <v>92</v>
      </c>
      <c r="F4" s="1">
        <f t="shared" si="0"/>
        <v>270</v>
      </c>
      <c r="G4" s="14">
        <f t="shared" si="1"/>
        <v>0.9</v>
      </c>
    </row>
    <row r="5" spans="1:7" ht="15" x14ac:dyDescent="0.3">
      <c r="A5" s="3">
        <v>4</v>
      </c>
      <c r="B5" s="3" t="s">
        <v>44</v>
      </c>
      <c r="C5" s="3">
        <v>35</v>
      </c>
      <c r="D5" s="3">
        <v>40</v>
      </c>
      <c r="E5" s="3">
        <v>38</v>
      </c>
      <c r="F5" s="1">
        <f t="shared" si="0"/>
        <v>113</v>
      </c>
      <c r="G5" s="14">
        <f t="shared" si="1"/>
        <v>0.37666666666666665</v>
      </c>
    </row>
    <row r="6" spans="1:7" ht="15" x14ac:dyDescent="0.3">
      <c r="A6" s="1">
        <v>5</v>
      </c>
      <c r="B6" s="1" t="s">
        <v>45</v>
      </c>
      <c r="C6" s="1">
        <v>55</v>
      </c>
      <c r="D6" s="1">
        <v>60</v>
      </c>
      <c r="E6" s="1">
        <v>58</v>
      </c>
      <c r="F6" s="1">
        <f t="shared" si="0"/>
        <v>173</v>
      </c>
      <c r="G6" s="14">
        <f t="shared" si="1"/>
        <v>0.57666666666666666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ADA5-F49F-4C7F-B535-594723764444}">
  <dimension ref="A1:G6"/>
  <sheetViews>
    <sheetView workbookViewId="0">
      <selection activeCell="F10" sqref="F10"/>
    </sheetView>
  </sheetViews>
  <sheetFormatPr defaultRowHeight="14.4" x14ac:dyDescent="0.3"/>
  <cols>
    <col min="2" max="2" width="11.88671875" bestFit="1" customWidth="1"/>
    <col min="6" max="6" width="12.109375" bestFit="1" customWidth="1"/>
    <col min="7" max="7" width="17.5546875" customWidth="1"/>
  </cols>
  <sheetData>
    <row r="1" spans="1:7" ht="30" x14ac:dyDescent="0.3">
      <c r="A1" s="5" t="s">
        <v>46</v>
      </c>
      <c r="B1" s="5" t="s">
        <v>47</v>
      </c>
      <c r="C1" s="5" t="s">
        <v>21</v>
      </c>
    </row>
    <row r="2" spans="1:7" ht="15" x14ac:dyDescent="0.3">
      <c r="A2" s="1" t="s">
        <v>48</v>
      </c>
      <c r="B2" s="2">
        <v>45292</v>
      </c>
      <c r="C2" s="1">
        <v>12000</v>
      </c>
      <c r="F2" s="17" t="s">
        <v>92</v>
      </c>
      <c r="G2" s="17">
        <f>SUM(C2:C6)</f>
        <v>92000</v>
      </c>
    </row>
    <row r="3" spans="1:7" ht="15" x14ac:dyDescent="0.3">
      <c r="A3" s="3" t="s">
        <v>49</v>
      </c>
      <c r="B3" s="4">
        <v>45294</v>
      </c>
      <c r="C3" s="3">
        <v>25000</v>
      </c>
      <c r="F3" s="17" t="s">
        <v>93</v>
      </c>
      <c r="G3" s="17">
        <f>AVERAGE(C2:C6)</f>
        <v>18400</v>
      </c>
    </row>
    <row r="4" spans="1:7" ht="15" x14ac:dyDescent="0.3">
      <c r="A4" s="1" t="s">
        <v>50</v>
      </c>
      <c r="B4" s="2">
        <v>45296</v>
      </c>
      <c r="C4" s="1">
        <v>8000</v>
      </c>
      <c r="F4" s="17" t="s">
        <v>94</v>
      </c>
      <c r="G4" s="17">
        <f>MAX(C2:C6)</f>
        <v>32000</v>
      </c>
    </row>
    <row r="5" spans="1:7" ht="15" x14ac:dyDescent="0.3">
      <c r="A5" s="3" t="s">
        <v>51</v>
      </c>
      <c r="B5" s="4">
        <v>45299</v>
      </c>
      <c r="C5" s="3">
        <v>32000</v>
      </c>
      <c r="F5" s="17" t="s">
        <v>95</v>
      </c>
      <c r="G5" s="17">
        <f>MIN(C2:C6)</f>
        <v>8000</v>
      </c>
    </row>
    <row r="6" spans="1:7" ht="15" x14ac:dyDescent="0.3">
      <c r="A6" s="1" t="s">
        <v>52</v>
      </c>
      <c r="B6" s="2">
        <v>45301</v>
      </c>
      <c r="C6" s="1">
        <v>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96FD-98C0-46D1-B03E-30BBBB55E6BA}">
  <dimension ref="A1:H8"/>
  <sheetViews>
    <sheetView workbookViewId="0">
      <selection activeCell="H3" sqref="H3"/>
    </sheetView>
  </sheetViews>
  <sheetFormatPr defaultRowHeight="14.4" x14ac:dyDescent="0.3"/>
  <cols>
    <col min="1" max="1" width="12.77734375" customWidth="1"/>
    <col min="2" max="2" width="18.33203125" customWidth="1"/>
    <col min="8" max="8" width="13.44140625" bestFit="1" customWidth="1"/>
  </cols>
  <sheetData>
    <row r="1" spans="1:8" ht="30" x14ac:dyDescent="0.3">
      <c r="A1" s="5" t="s">
        <v>53</v>
      </c>
      <c r="B1" s="5" t="s">
        <v>2</v>
      </c>
      <c r="C1" s="5" t="s">
        <v>3</v>
      </c>
    </row>
    <row r="2" spans="1:8" ht="17.399999999999999" x14ac:dyDescent="0.35">
      <c r="A2" s="1" t="s">
        <v>54</v>
      </c>
      <c r="B2" s="1" t="s">
        <v>7</v>
      </c>
      <c r="C2" s="1">
        <v>28000</v>
      </c>
      <c r="F2" s="18" t="s">
        <v>96</v>
      </c>
      <c r="G2" s="19"/>
      <c r="H2" s="19"/>
    </row>
    <row r="3" spans="1:8" ht="15.6" x14ac:dyDescent="0.3">
      <c r="A3" s="3" t="s">
        <v>55</v>
      </c>
      <c r="B3" s="3" t="s">
        <v>10</v>
      </c>
      <c r="C3" s="3">
        <v>45000</v>
      </c>
      <c r="F3" s="20" t="s">
        <v>97</v>
      </c>
      <c r="G3" s="21"/>
      <c r="H3" s="21"/>
    </row>
    <row r="4" spans="1:8" ht="15.6" x14ac:dyDescent="0.3">
      <c r="A4" s="1" t="s">
        <v>56</v>
      </c>
      <c r="B4" s="1" t="s">
        <v>10</v>
      </c>
      <c r="C4" s="1">
        <v>50000</v>
      </c>
      <c r="F4" s="20" t="s">
        <v>98</v>
      </c>
      <c r="G4" s="21"/>
      <c r="H4" s="21"/>
    </row>
    <row r="5" spans="1:8" ht="15.6" x14ac:dyDescent="0.3">
      <c r="A5" s="3" t="s">
        <v>57</v>
      </c>
      <c r="B5" s="3" t="s">
        <v>13</v>
      </c>
      <c r="C5" s="3">
        <v>42000</v>
      </c>
      <c r="F5" s="20" t="s">
        <v>99</v>
      </c>
      <c r="G5" s="21"/>
      <c r="H5" s="21"/>
    </row>
    <row r="6" spans="1:8" ht="15" x14ac:dyDescent="0.3">
      <c r="A6" s="1" t="s">
        <v>58</v>
      </c>
      <c r="B6" s="1" t="s">
        <v>7</v>
      </c>
      <c r="C6" s="1">
        <v>30000</v>
      </c>
      <c r="F6" s="22"/>
      <c r="G6" s="21"/>
      <c r="H6" s="21"/>
    </row>
    <row r="7" spans="1:8" ht="17.399999999999999" x14ac:dyDescent="0.35">
      <c r="A7" s="3" t="s">
        <v>59</v>
      </c>
      <c r="B7" s="3" t="s">
        <v>13</v>
      </c>
      <c r="C7" s="3">
        <v>38000</v>
      </c>
      <c r="F7" s="23" t="s">
        <v>100</v>
      </c>
      <c r="G7" s="23"/>
      <c r="H7" s="24">
        <v>6</v>
      </c>
    </row>
    <row r="8" spans="1:8" ht="17.399999999999999" x14ac:dyDescent="0.35">
      <c r="F8" s="18" t="s">
        <v>101</v>
      </c>
      <c r="G8" s="18"/>
      <c r="H8" s="21">
        <f>AVERAGE(C2:C7)</f>
        <v>38833.333333333336</v>
      </c>
    </row>
  </sheetData>
  <mergeCells count="3">
    <mergeCell ref="F2:H2"/>
    <mergeCell ref="F7:G7"/>
    <mergeCell ref="F8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3AE9-9AAB-43F2-A4D6-DEB7336632FD}">
  <dimension ref="A1:I5"/>
  <sheetViews>
    <sheetView workbookViewId="0">
      <selection activeCell="H5" sqref="H5"/>
    </sheetView>
  </sheetViews>
  <sheetFormatPr defaultRowHeight="14.4" x14ac:dyDescent="0.3"/>
  <cols>
    <col min="1" max="1" width="12.33203125" customWidth="1"/>
  </cols>
  <sheetData>
    <row r="1" spans="1:9" ht="30" x14ac:dyDescent="0.3">
      <c r="A1" s="5" t="s">
        <v>36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H1" s="25" t="s">
        <v>102</v>
      </c>
      <c r="I1" s="26">
        <f>COUNTIF(B2:F5, "P")</f>
        <v>14</v>
      </c>
    </row>
    <row r="2" spans="1:9" ht="30" x14ac:dyDescent="0.3">
      <c r="A2" s="1" t="s">
        <v>41</v>
      </c>
      <c r="B2" s="1" t="s">
        <v>65</v>
      </c>
      <c r="C2" s="1" t="s">
        <v>66</v>
      </c>
      <c r="D2" s="1" t="s">
        <v>65</v>
      </c>
      <c r="E2" s="1" t="s">
        <v>65</v>
      </c>
      <c r="F2" s="1" t="s">
        <v>65</v>
      </c>
      <c r="H2" s="25" t="s">
        <v>102</v>
      </c>
      <c r="I2" s="26">
        <f>COUNTIF(B2:F5, "A")</f>
        <v>6</v>
      </c>
    </row>
    <row r="3" spans="1:9" ht="15" x14ac:dyDescent="0.3">
      <c r="A3" s="3" t="s">
        <v>42</v>
      </c>
      <c r="B3" s="3" t="s">
        <v>65</v>
      </c>
      <c r="C3" s="3" t="s">
        <v>65</v>
      </c>
      <c r="D3" s="3" t="s">
        <v>65</v>
      </c>
      <c r="E3" s="3" t="s">
        <v>66</v>
      </c>
      <c r="F3" s="3" t="s">
        <v>65</v>
      </c>
    </row>
    <row r="4" spans="1:9" ht="15" x14ac:dyDescent="0.3">
      <c r="A4" s="1" t="s">
        <v>43</v>
      </c>
      <c r="B4" s="1" t="s">
        <v>66</v>
      </c>
      <c r="C4" s="1" t="s">
        <v>65</v>
      </c>
      <c r="D4" s="1" t="s">
        <v>65</v>
      </c>
      <c r="E4" s="1" t="s">
        <v>65</v>
      </c>
      <c r="F4" s="1" t="s">
        <v>65</v>
      </c>
    </row>
    <row r="5" spans="1:9" ht="15" x14ac:dyDescent="0.3">
      <c r="A5" s="3" t="s">
        <v>44</v>
      </c>
      <c r="B5" s="3" t="s">
        <v>65</v>
      </c>
      <c r="C5" s="3" t="s">
        <v>66</v>
      </c>
      <c r="D5" s="3" t="s">
        <v>66</v>
      </c>
      <c r="E5" s="3" t="s">
        <v>65</v>
      </c>
      <c r="F5" s="3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5233-607F-4573-897B-958A20064292}">
  <dimension ref="A1:F7"/>
  <sheetViews>
    <sheetView workbookViewId="0">
      <selection activeCell="F15" sqref="F15"/>
    </sheetView>
  </sheetViews>
  <sheetFormatPr defaultRowHeight="14.4" x14ac:dyDescent="0.3"/>
  <sheetData>
    <row r="1" spans="1:6" ht="30" x14ac:dyDescent="0.3">
      <c r="A1" s="5" t="s">
        <v>67</v>
      </c>
      <c r="B1" s="5" t="s">
        <v>21</v>
      </c>
    </row>
    <row r="2" spans="1:6" ht="15" x14ac:dyDescent="0.3">
      <c r="A2" s="1" t="s">
        <v>68</v>
      </c>
      <c r="B2" s="1">
        <v>4500</v>
      </c>
    </row>
    <row r="3" spans="1:6" ht="15" x14ac:dyDescent="0.3">
      <c r="A3" s="3" t="s">
        <v>69</v>
      </c>
      <c r="B3" s="3">
        <v>12000</v>
      </c>
      <c r="D3" s="27" t="s">
        <v>103</v>
      </c>
      <c r="E3" s="27"/>
      <c r="F3" s="16">
        <f>COUNTIF(B2:B7, "&gt;10000")</f>
        <v>3</v>
      </c>
    </row>
    <row r="4" spans="1:6" ht="15" x14ac:dyDescent="0.3">
      <c r="A4" s="1" t="s">
        <v>70</v>
      </c>
      <c r="B4" s="1">
        <v>8000</v>
      </c>
      <c r="D4" s="27" t="s">
        <v>104</v>
      </c>
      <c r="E4" s="27"/>
      <c r="F4" s="16">
        <f>COUNTIF(B2:B7, "&lt;5000")</f>
        <v>2</v>
      </c>
    </row>
    <row r="5" spans="1:6" ht="15" x14ac:dyDescent="0.3">
      <c r="A5" s="3" t="s">
        <v>71</v>
      </c>
      <c r="B5" s="3">
        <v>25000</v>
      </c>
    </row>
    <row r="6" spans="1:6" ht="15" x14ac:dyDescent="0.3">
      <c r="A6" s="1" t="s">
        <v>72</v>
      </c>
      <c r="B6" s="1">
        <v>3000</v>
      </c>
    </row>
    <row r="7" spans="1:6" ht="15" x14ac:dyDescent="0.3">
      <c r="A7" s="3" t="s">
        <v>73</v>
      </c>
      <c r="B7" s="3">
        <v>15000</v>
      </c>
    </row>
  </sheetData>
  <mergeCells count="2">
    <mergeCell ref="D3:E3"/>
    <mergeCell ref="D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FFA2-3FF3-4D00-9565-FBCAFEC9C468}">
  <dimension ref="A1:B6"/>
  <sheetViews>
    <sheetView workbookViewId="0">
      <selection sqref="A1:B1"/>
    </sheetView>
  </sheetViews>
  <sheetFormatPr defaultRowHeight="14.4" x14ac:dyDescent="0.3"/>
  <cols>
    <col min="1" max="1" width="13.77734375" customWidth="1"/>
    <col min="2" max="2" width="16" customWidth="1"/>
  </cols>
  <sheetData>
    <row r="1" spans="1:2" ht="15" x14ac:dyDescent="0.3">
      <c r="A1" s="5" t="s">
        <v>74</v>
      </c>
      <c r="B1" s="5" t="s">
        <v>21</v>
      </c>
    </row>
    <row r="2" spans="1:2" ht="15" x14ac:dyDescent="0.3">
      <c r="A2" s="1" t="s">
        <v>75</v>
      </c>
      <c r="B2" s="1">
        <v>22000</v>
      </c>
    </row>
    <row r="3" spans="1:2" ht="15" x14ac:dyDescent="0.3">
      <c r="A3" s="3" t="s">
        <v>76</v>
      </c>
      <c r="B3" s="3">
        <v>3500</v>
      </c>
    </row>
    <row r="4" spans="1:2" ht="15" x14ac:dyDescent="0.3">
      <c r="A4" s="1" t="s">
        <v>77</v>
      </c>
      <c r="B4" s="1">
        <v>58000</v>
      </c>
    </row>
    <row r="5" spans="1:2" ht="15" x14ac:dyDescent="0.3">
      <c r="A5" s="3" t="s">
        <v>78</v>
      </c>
      <c r="B5" s="3">
        <v>1800</v>
      </c>
    </row>
    <row r="6" spans="1:2" ht="15" x14ac:dyDescent="0.3">
      <c r="A6" s="1" t="s">
        <v>79</v>
      </c>
      <c r="B6" s="1">
        <v>12000</v>
      </c>
    </row>
  </sheetData>
  <conditionalFormatting sqref="B2:B6">
    <cfRule type="cellIs" dxfId="9" priority="2" operator="greaterThan">
      <formula>20000</formula>
    </cfRule>
    <cfRule type="cellIs" dxfId="10" priority="1" operator="lessThan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2213-9193-4430-A741-AA2E7FA68799}">
  <dimension ref="A1:C6"/>
  <sheetViews>
    <sheetView workbookViewId="0">
      <selection sqref="A1:C1"/>
    </sheetView>
  </sheetViews>
  <sheetFormatPr defaultRowHeight="14.4" x14ac:dyDescent="0.3"/>
  <sheetData>
    <row r="1" spans="1:3" ht="15" x14ac:dyDescent="0.3">
      <c r="A1" s="5" t="s">
        <v>35</v>
      </c>
      <c r="B1" s="5" t="s">
        <v>1</v>
      </c>
      <c r="C1" s="5" t="s">
        <v>80</v>
      </c>
    </row>
    <row r="2" spans="1:3" ht="15" x14ac:dyDescent="0.3">
      <c r="A2" s="1">
        <v>1</v>
      </c>
      <c r="B2" s="1" t="s">
        <v>58</v>
      </c>
      <c r="C2" s="1">
        <v>85</v>
      </c>
    </row>
    <row r="3" spans="1:3" ht="15" x14ac:dyDescent="0.3">
      <c r="A3" s="3">
        <v>2</v>
      </c>
      <c r="B3" s="3" t="s">
        <v>81</v>
      </c>
      <c r="C3" s="3">
        <v>72</v>
      </c>
    </row>
    <row r="4" spans="1:3" ht="15" x14ac:dyDescent="0.3">
      <c r="A4" s="1">
        <v>3</v>
      </c>
      <c r="B4" s="1" t="s">
        <v>82</v>
      </c>
      <c r="C4" s="1">
        <v>39</v>
      </c>
    </row>
    <row r="5" spans="1:3" ht="15" x14ac:dyDescent="0.3">
      <c r="A5" s="3">
        <v>4</v>
      </c>
      <c r="B5" s="3" t="s">
        <v>83</v>
      </c>
      <c r="C5" s="3">
        <v>91</v>
      </c>
    </row>
    <row r="6" spans="1:3" ht="15" x14ac:dyDescent="0.3">
      <c r="A6" s="1">
        <v>5</v>
      </c>
      <c r="B6" s="1" t="s">
        <v>84</v>
      </c>
      <c r="C6" s="1">
        <v>28</v>
      </c>
    </row>
  </sheetData>
  <conditionalFormatting sqref="I18">
    <cfRule type="cellIs" dxfId="7" priority="3" operator="greaterThan">
      <formula>20000</formula>
    </cfRule>
  </conditionalFormatting>
  <conditionalFormatting sqref="C2:C6">
    <cfRule type="cellIs" dxfId="3" priority="2" operator="greaterThan">
      <formula>75</formula>
    </cfRule>
    <cfRule type="cellIs" dxfId="4" priority="1" operator="lessThan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67C1-89A5-4867-82C2-51DB39501E8C}">
  <dimension ref="A1:B6"/>
  <sheetViews>
    <sheetView tabSelected="1" workbookViewId="0">
      <selection sqref="A1:B1"/>
    </sheetView>
  </sheetViews>
  <sheetFormatPr defaultRowHeight="14.4" x14ac:dyDescent="0.3"/>
  <cols>
    <col min="1" max="1" width="12.33203125" customWidth="1"/>
    <col min="2" max="2" width="12.6640625" customWidth="1"/>
  </cols>
  <sheetData>
    <row r="1" spans="1:2" ht="30" x14ac:dyDescent="0.3">
      <c r="A1" s="5" t="s">
        <v>53</v>
      </c>
      <c r="B1" s="5" t="s">
        <v>3</v>
      </c>
    </row>
    <row r="2" spans="1:2" ht="15" x14ac:dyDescent="0.3">
      <c r="A2" s="1" t="s">
        <v>85</v>
      </c>
      <c r="B2" s="1">
        <v>28000</v>
      </c>
    </row>
    <row r="3" spans="1:2" ht="15" x14ac:dyDescent="0.3">
      <c r="A3" s="3" t="s">
        <v>86</v>
      </c>
      <c r="B3" s="3">
        <v>34000</v>
      </c>
    </row>
    <row r="4" spans="1:2" ht="15" x14ac:dyDescent="0.3">
      <c r="A4" s="1" t="s">
        <v>87</v>
      </c>
      <c r="B4" s="1">
        <v>51000</v>
      </c>
    </row>
    <row r="5" spans="1:2" ht="15" x14ac:dyDescent="0.3">
      <c r="A5" s="3" t="s">
        <v>88</v>
      </c>
      <c r="B5" s="3">
        <v>47000</v>
      </c>
    </row>
    <row r="6" spans="1:2" ht="15" x14ac:dyDescent="0.3">
      <c r="A6" s="1" t="s">
        <v>89</v>
      </c>
      <c r="B6" s="1">
        <v>29000</v>
      </c>
    </row>
  </sheetData>
  <conditionalFormatting sqref="B2:B6">
    <cfRule type="cellIs" dxfId="0" priority="2" operator="greaterThan">
      <formula>50000</formula>
    </cfRule>
    <cfRule type="cellIs" dxfId="1" priority="1" operator="between">
      <formula>30000</formula>
      <formula>49999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Patel</dc:creator>
  <cp:lastModifiedBy>Vishwa Patel</cp:lastModifiedBy>
  <dcterms:created xsi:type="dcterms:W3CDTF">2026-05-17T04:23:41Z</dcterms:created>
  <dcterms:modified xsi:type="dcterms:W3CDTF">2026-05-17T05:18:20Z</dcterms:modified>
</cp:coreProperties>
</file>