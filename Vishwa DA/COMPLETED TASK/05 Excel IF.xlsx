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 PATEL\Downloads\"/>
    </mc:Choice>
  </mc:AlternateContent>
  <xr:revisionPtr revIDLastSave="0" documentId="13_ncr:1_{DA174DF9-30EA-41E5-9EED-910AB1A84D5E}" xr6:coauthVersionLast="47" xr6:coauthVersionMax="47" xr10:uidLastSave="{00000000-0000-0000-0000-000000000000}"/>
  <bookViews>
    <workbookView xWindow="-108" yWindow="-108" windowWidth="23256" windowHeight="13896" activeTab="1" xr2:uid="{687591E7-ABB9-4522-A4EF-2628CB1A7691}"/>
  </bookViews>
  <sheets>
    <sheet name="IF" sheetId="1" r:id="rId1"/>
    <sheet name="_IF" sheetId="2" r:id="rId2"/>
    <sheet name="Nested If" sheetId="3" r:id="rId3"/>
    <sheet name="IF__AND" sheetId="4" r:id="rId4"/>
    <sheet name="IF_AND" sheetId="5" r:id="rId5"/>
    <sheet name="IF_OR" sheetId="6" r:id="rId6"/>
    <sheet name="IFOR" sheetId="7" r:id="rId7"/>
    <sheet name="IFNOT" sheetId="8" r:id="rId8"/>
    <sheet name="IFERROR" sheetId="9" r:id="rId9"/>
    <sheet name="IFAN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0" l="1"/>
  <c r="D5" i="10"/>
  <c r="D6" i="10"/>
  <c r="D3" i="10"/>
  <c r="C4" i="9"/>
  <c r="C5" i="9"/>
  <c r="C6" i="9"/>
  <c r="C3" i="9"/>
  <c r="C4" i="8"/>
  <c r="C5" i="8"/>
  <c r="C6" i="8"/>
  <c r="C3" i="8"/>
  <c r="D4" i="7"/>
  <c r="D5" i="7"/>
  <c r="D6" i="7"/>
  <c r="D3" i="7"/>
  <c r="D4" i="6"/>
  <c r="D5" i="6"/>
  <c r="D6" i="6"/>
  <c r="D3" i="6"/>
  <c r="D4" i="5"/>
  <c r="D5" i="5"/>
  <c r="D6" i="5"/>
  <c r="D3" i="5"/>
  <c r="D4" i="4"/>
  <c r="D5" i="4"/>
  <c r="D6" i="4"/>
  <c r="D3" i="4"/>
  <c r="C4" i="3"/>
  <c r="C5" i="3"/>
  <c r="C6" i="3"/>
  <c r="C7" i="3"/>
  <c r="C3" i="3"/>
  <c r="C4" i="2"/>
  <c r="C5" i="2"/>
  <c r="C6" i="2"/>
  <c r="C3" i="2"/>
  <c r="D4" i="1"/>
  <c r="D5" i="1"/>
  <c r="D6" i="1"/>
  <c r="D7" i="1"/>
  <c r="D3" i="1"/>
</calcChain>
</file>

<file path=xl/sharedStrings.xml><?xml version="1.0" encoding="utf-8"?>
<sst xmlns="http://schemas.openxmlformats.org/spreadsheetml/2006/main" count="92" uniqueCount="55">
  <si>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</si>
  <si>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</si>
  <si>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</si>
  <si>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</si>
  <si>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</si>
  <si>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</si>
  <si>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</si>
  <si>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</si>
  <si>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</si>
  <si>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Pass/Fail Using if</t>
  </si>
  <si>
    <t>Employee Name</t>
  </si>
  <si>
    <t>Salary</t>
  </si>
  <si>
    <t>Bonus Status</t>
  </si>
  <si>
    <t>Rohit</t>
  </si>
  <si>
    <t>Simran</t>
  </si>
  <si>
    <t>Vijay</t>
  </si>
  <si>
    <t>Nisha</t>
  </si>
  <si>
    <t>Salary Bonus check</t>
  </si>
  <si>
    <t>Grade</t>
  </si>
  <si>
    <t>Grade Calculation (Nested If)</t>
  </si>
  <si>
    <t>Name</t>
  </si>
  <si>
    <t>Age</t>
  </si>
  <si>
    <t>Experience (Years)</t>
  </si>
  <si>
    <t>Eligible</t>
  </si>
  <si>
    <t>Job Eligibility (And)</t>
  </si>
  <si>
    <t>Attendance %</t>
  </si>
  <si>
    <t>Assignment Submitted</t>
  </si>
  <si>
    <t>Yes</t>
  </si>
  <si>
    <t>No</t>
  </si>
  <si>
    <t>Exam Eligibility (And)</t>
  </si>
  <si>
    <t>Customer Name</t>
  </si>
  <si>
    <t>Purchase Amount</t>
  </si>
  <si>
    <t>Membership</t>
  </si>
  <si>
    <t>Discount</t>
  </si>
  <si>
    <t>Aakash</t>
  </si>
  <si>
    <t>Bhavna</t>
  </si>
  <si>
    <t>Divya</t>
  </si>
  <si>
    <t>Discount Logic (OR)</t>
  </si>
  <si>
    <t>Applicant</t>
  </si>
  <si>
    <t>CIBIL Score</t>
  </si>
  <si>
    <t>Loan Status</t>
  </si>
  <si>
    <t>Loan Approval (OR)</t>
  </si>
  <si>
    <t>Present</t>
  </si>
  <si>
    <t>Status</t>
  </si>
  <si>
    <t>Attendance status ( NOT)</t>
  </si>
  <si>
    <t>Number 1</t>
  </si>
  <si>
    <t>Number 2</t>
  </si>
  <si>
    <t>Safe Division (IFERROR)</t>
  </si>
  <si>
    <t>Targets Achieved</t>
  </si>
  <si>
    <t>Performance</t>
  </si>
  <si>
    <t>Raj</t>
  </si>
  <si>
    <t>Sunita</t>
  </si>
  <si>
    <t>Manoj</t>
  </si>
  <si>
    <t>Kavita</t>
  </si>
  <si>
    <t>Performance Evaluation (Combined Logic)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</si>
</sst>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09D3-F75C-4F3B-9B66-0FD1CE8F0008}">
  <dimension ref="A1:D7"/>
  <sheetViews>
    <sheetView workbookViewId="0">
      <selection activeCell="D21" sqref="D21"/>
    </sheetView>
  </sheetViews>
  <sheetFormatPr defaultRowHeight="14.4" x14ac:dyDescent="0.3"/>
  <cols>
    <col min="1" max="1" width="11.5546875" customWidth="1"/>
    <col min="2" max="2" width="15.109375" customWidth="1"/>
  </cols>
  <sheetData>
    <row r="1" spans="1:4" x14ac:dyDescent="0.3">
      <c r="A1" s="12" t="s">
        <v>9</v>
      </c>
      <c r="B1" s="12"/>
      <c r="C1" s="12"/>
      <c r="D1" s="12"/>
    </row>
    <row r="2" spans="1:4" ht="19.2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9.2" x14ac:dyDescent="0.3">
      <c r="A3" s="4">
        <v>1</v>
      </c>
      <c r="B3" s="4" t="s">
        <v>4</v>
      </c>
      <c r="C3" s="2">
        <v>78</v>
      </c>
      <c r="D3" s="2" t="str">
        <f>IF(C3&gt;=40, "Pass", "Fail")</f>
        <v>Pass</v>
      </c>
    </row>
    <row r="4" spans="1:4" ht="19.2" x14ac:dyDescent="0.3">
      <c r="A4" s="5">
        <v>2</v>
      </c>
      <c r="B4" s="5" t="s">
        <v>5</v>
      </c>
      <c r="C4" s="3">
        <v>35</v>
      </c>
      <c r="D4" s="2" t="str">
        <f t="shared" ref="D4:D7" si="0">IF(C4&gt;=40, "Pass", "Fail")</f>
        <v>Fail</v>
      </c>
    </row>
    <row r="5" spans="1:4" ht="19.2" x14ac:dyDescent="0.3">
      <c r="A5" s="4">
        <v>3</v>
      </c>
      <c r="B5" s="4" t="s">
        <v>6</v>
      </c>
      <c r="C5" s="2">
        <v>62</v>
      </c>
      <c r="D5" s="2" t="str">
        <f t="shared" si="0"/>
        <v>Pass</v>
      </c>
    </row>
    <row r="6" spans="1:4" ht="19.2" x14ac:dyDescent="0.3">
      <c r="A6" s="5">
        <v>4</v>
      </c>
      <c r="B6" s="5" t="s">
        <v>7</v>
      </c>
      <c r="C6" s="3">
        <v>40</v>
      </c>
      <c r="D6" s="2" t="str">
        <f t="shared" si="0"/>
        <v>Pass</v>
      </c>
    </row>
    <row r="7" spans="1:4" ht="19.2" x14ac:dyDescent="0.3">
      <c r="A7" s="4">
        <v>5</v>
      </c>
      <c r="B7" s="4" t="s">
        <v>8</v>
      </c>
      <c r="C7" s="2">
        <v>28</v>
      </c>
      <c r="D7" s="2" t="str">
        <f t="shared" si="0"/>
        <v>Fail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D748-EE31-47E7-87E9-ED3D9F9B5417}">
  <dimension ref="A1:C6"/>
  <sheetViews>
    <sheetView tabSelected="1" workbookViewId="0">
      <selection activeCell="C27" sqref="C27"/>
    </sheetView>
  </sheetViews>
  <sheetFormatPr defaultRowHeight="14.4" x14ac:dyDescent="0.3"/>
  <cols>
    <col min="1" max="1" width="13.109375" customWidth="1"/>
    <col min="3" max="3" width="50.44140625" customWidth="1"/>
  </cols>
  <sheetData>
    <row r="1" spans="1:3" x14ac:dyDescent="0.3">
      <c r="A1" s="13" t="s">
        <v>17</v>
      </c>
      <c r="B1" s="14"/>
      <c r="C1" s="14"/>
    </row>
    <row r="2" spans="1:3" ht="38.4" x14ac:dyDescent="0.3">
      <c r="A2" s="1" t="s">
        <v>10</v>
      </c>
      <c r="B2" s="1" t="s">
        <v>11</v>
      </c>
      <c r="C2" s="1" t="s">
        <v>12</v>
      </c>
    </row>
    <row r="3" spans="1:3" ht="19.2" x14ac:dyDescent="0.3">
      <c r="A3" s="4" t="s">
        <v>13</v>
      </c>
      <c r="B3" s="2">
        <v>28000</v>
      </c>
      <c r="C3" s="2" t="str">
        <f>IF(B3&gt;=40000,"Bonus", "No Bonus")</f>
        <v>No Bonus</v>
      </c>
    </row>
    <row r="4" spans="1:3" ht="19.2" x14ac:dyDescent="0.3">
      <c r="A4" s="5" t="s">
        <v>14</v>
      </c>
      <c r="B4" s="3">
        <v>45000</v>
      </c>
      <c r="C4" s="2" t="str">
        <f t="shared" ref="C4:C6" si="0">IF(B4&gt;=40000,"Bonus", "No Bonus")</f>
        <v>Bonus</v>
      </c>
    </row>
    <row r="5" spans="1:3" ht="19.2" x14ac:dyDescent="0.3">
      <c r="A5" s="4" t="s">
        <v>15</v>
      </c>
      <c r="B5" s="2">
        <v>52000</v>
      </c>
      <c r="C5" s="2" t="str">
        <f t="shared" si="0"/>
        <v>Bonus</v>
      </c>
    </row>
    <row r="6" spans="1:3" ht="19.2" x14ac:dyDescent="0.3">
      <c r="A6" s="5" t="s">
        <v>16</v>
      </c>
      <c r="B6" s="3">
        <v>30000</v>
      </c>
      <c r="C6" s="2" t="str">
        <f t="shared" si="0"/>
        <v>No Bonus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F3DC-33A5-404D-AC7B-516AFD9C70E5}">
  <dimension ref="A1:C7"/>
  <sheetViews>
    <sheetView workbookViewId="0">
      <selection activeCell="D12" sqref="D12"/>
    </sheetView>
  </sheetViews>
  <sheetFormatPr defaultRowHeight="14.4" x14ac:dyDescent="0.3"/>
  <cols>
    <col min="1" max="1" width="14.88671875" customWidth="1"/>
  </cols>
  <sheetData>
    <row r="1" spans="1:3" x14ac:dyDescent="0.3">
      <c r="A1" s="13" t="s">
        <v>19</v>
      </c>
      <c r="B1" s="13"/>
      <c r="C1" s="13"/>
    </row>
    <row r="2" spans="1:3" ht="38.4" x14ac:dyDescent="0.3">
      <c r="A2" s="1" t="s">
        <v>1</v>
      </c>
      <c r="B2" s="1" t="s">
        <v>2</v>
      </c>
      <c r="C2" s="1" t="s">
        <v>18</v>
      </c>
    </row>
    <row r="3" spans="1:3" ht="19.2" x14ac:dyDescent="0.3">
      <c r="A3" s="4" t="s">
        <v>4</v>
      </c>
      <c r="B3" s="2">
        <v>82</v>
      </c>
      <c r="C3" s="2" t="str">
        <f>IF(B3&gt;=75,"A",IF(B3&gt;=60,"B",IF(B3&gt;=40,"C","Fail")))</f>
        <v>A</v>
      </c>
    </row>
    <row r="4" spans="1:3" ht="19.2" x14ac:dyDescent="0.3">
      <c r="A4" s="5" t="s">
        <v>5</v>
      </c>
      <c r="B4" s="3">
        <v>67</v>
      </c>
      <c r="C4" s="2" t="str">
        <f t="shared" ref="C4:C7" si="0">IF(B4&gt;=75,"A",IF(B4&gt;=60,"B",IF(B4&gt;=40,"C","Fail")))</f>
        <v>B</v>
      </c>
    </row>
    <row r="5" spans="1:3" ht="19.2" x14ac:dyDescent="0.3">
      <c r="A5" s="4" t="s">
        <v>6</v>
      </c>
      <c r="B5" s="2">
        <v>45</v>
      </c>
      <c r="C5" s="2" t="str">
        <f t="shared" si="0"/>
        <v>C</v>
      </c>
    </row>
    <row r="6" spans="1:3" ht="19.2" x14ac:dyDescent="0.3">
      <c r="A6" s="5" t="s">
        <v>7</v>
      </c>
      <c r="B6" s="3">
        <v>33</v>
      </c>
      <c r="C6" s="2" t="str">
        <f t="shared" si="0"/>
        <v>Fail</v>
      </c>
    </row>
    <row r="7" spans="1:3" ht="19.2" x14ac:dyDescent="0.3">
      <c r="A7" s="4" t="s">
        <v>8</v>
      </c>
      <c r="B7" s="2">
        <v>90</v>
      </c>
      <c r="C7" s="2" t="str">
        <f t="shared" si="0"/>
        <v>A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5A58-25D1-4CC4-892E-37B08F306F40}">
  <dimension ref="A1:D6"/>
  <sheetViews>
    <sheetView workbookViewId="0">
      <selection activeCell="D3" sqref="D3"/>
    </sheetView>
  </sheetViews>
  <sheetFormatPr defaultRowHeight="14.4" x14ac:dyDescent="0.3"/>
  <cols>
    <col min="1" max="1" width="11.44140625" customWidth="1"/>
    <col min="3" max="3" width="18" customWidth="1"/>
    <col min="4" max="4" width="14.33203125" customWidth="1"/>
  </cols>
  <sheetData>
    <row r="1" spans="1:4" x14ac:dyDescent="0.3">
      <c r="A1" s="12" t="s">
        <v>24</v>
      </c>
      <c r="B1" s="12"/>
      <c r="C1" s="12"/>
      <c r="D1" s="12"/>
    </row>
    <row r="2" spans="1:4" ht="38.4" x14ac:dyDescent="0.3">
      <c r="A2" s="1" t="s">
        <v>20</v>
      </c>
      <c r="B2" s="1" t="s">
        <v>21</v>
      </c>
      <c r="C2" s="1" t="s">
        <v>22</v>
      </c>
      <c r="D2" s="1" t="s">
        <v>23</v>
      </c>
    </row>
    <row r="3" spans="1:4" ht="19.2" x14ac:dyDescent="0.3">
      <c r="A3" s="4" t="s">
        <v>13</v>
      </c>
      <c r="B3" s="2">
        <v>25</v>
      </c>
      <c r="C3" s="2">
        <v>2</v>
      </c>
      <c r="D3" s="2" t="str">
        <f>IF(AND(B3&gt;=21,C3&gt;=1), "Eligible", "Not Eligible")</f>
        <v>Eligible</v>
      </c>
    </row>
    <row r="4" spans="1:4" ht="19.2" x14ac:dyDescent="0.3">
      <c r="A4" s="5" t="s">
        <v>14</v>
      </c>
      <c r="B4" s="3">
        <v>20</v>
      </c>
      <c r="C4" s="3">
        <v>1</v>
      </c>
      <c r="D4" s="2" t="str">
        <f t="shared" ref="D4:D6" si="0">IF(AND(B4&gt;=21,C4&gt;=1), "Eligible", "Not Eligible")</f>
        <v>Not Eligible</v>
      </c>
    </row>
    <row r="5" spans="1:4" ht="19.2" x14ac:dyDescent="0.3">
      <c r="A5" s="4" t="s">
        <v>15</v>
      </c>
      <c r="B5" s="2">
        <v>30</v>
      </c>
      <c r="C5" s="2">
        <v>5</v>
      </c>
      <c r="D5" s="2" t="str">
        <f t="shared" si="0"/>
        <v>Eligible</v>
      </c>
    </row>
    <row r="6" spans="1:4" ht="19.2" x14ac:dyDescent="0.3">
      <c r="A6" s="5" t="s">
        <v>16</v>
      </c>
      <c r="B6" s="3">
        <v>22</v>
      </c>
      <c r="C6" s="3">
        <v>0</v>
      </c>
      <c r="D6" s="2" t="str">
        <f t="shared" si="0"/>
        <v>Not Eligible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4AC0-D484-4AA7-93E8-6A6F5C3DAB35}">
  <dimension ref="A1:D6"/>
  <sheetViews>
    <sheetView workbookViewId="0">
      <selection activeCell="D5" sqref="D5"/>
    </sheetView>
  </sheetViews>
  <sheetFormatPr defaultRowHeight="14.4" x14ac:dyDescent="0.3"/>
  <cols>
    <col min="1" max="1" width="14.109375" customWidth="1"/>
    <col min="2" max="2" width="17.5546875" customWidth="1"/>
    <col min="3" max="3" width="22.88671875" customWidth="1"/>
    <col min="4" max="4" width="16.109375" customWidth="1"/>
  </cols>
  <sheetData>
    <row r="1" spans="1:4" x14ac:dyDescent="0.3">
      <c r="A1" s="12" t="s">
        <v>29</v>
      </c>
      <c r="B1" s="12"/>
      <c r="C1" s="12"/>
      <c r="D1" s="12"/>
    </row>
    <row r="2" spans="1:4" ht="38.4" x14ac:dyDescent="0.3">
      <c r="A2" s="1" t="s">
        <v>1</v>
      </c>
      <c r="B2" s="1" t="s">
        <v>25</v>
      </c>
      <c r="C2" s="1" t="s">
        <v>26</v>
      </c>
      <c r="D2" s="1" t="s">
        <v>23</v>
      </c>
    </row>
    <row r="3" spans="1:4" ht="19.2" x14ac:dyDescent="0.3">
      <c r="A3" s="4" t="s">
        <v>4</v>
      </c>
      <c r="B3" s="2">
        <v>85</v>
      </c>
      <c r="C3" s="2" t="s">
        <v>27</v>
      </c>
      <c r="D3" s="2" t="str">
        <f>IF(AND(B3&gt;=75,C3="YES"), "Eligible", "Not Eligible")</f>
        <v>Eligible</v>
      </c>
    </row>
    <row r="4" spans="1:4" ht="19.2" x14ac:dyDescent="0.3">
      <c r="A4" s="5" t="s">
        <v>5</v>
      </c>
      <c r="B4" s="3">
        <v>72</v>
      </c>
      <c r="C4" s="3" t="s">
        <v>27</v>
      </c>
      <c r="D4" s="2" t="str">
        <f t="shared" ref="D4:D6" si="0">IF(AND(B4&gt;=75,C4="YES"), "Eligible", "Not Eligible")</f>
        <v>Not Eligible</v>
      </c>
    </row>
    <row r="5" spans="1:4" ht="19.2" x14ac:dyDescent="0.3">
      <c r="A5" s="4" t="s">
        <v>6</v>
      </c>
      <c r="B5" s="2">
        <v>90</v>
      </c>
      <c r="C5" s="2" t="s">
        <v>28</v>
      </c>
      <c r="D5" s="2" t="str">
        <f t="shared" si="0"/>
        <v>Not Eligible</v>
      </c>
    </row>
    <row r="6" spans="1:4" ht="19.2" x14ac:dyDescent="0.3">
      <c r="A6" s="5" t="s">
        <v>7</v>
      </c>
      <c r="B6" s="3">
        <v>80</v>
      </c>
      <c r="C6" s="3" t="s">
        <v>27</v>
      </c>
      <c r="D6" s="2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5BF9-83C5-457A-930E-D6A68BC77B8A}">
  <dimension ref="A1:D6"/>
  <sheetViews>
    <sheetView workbookViewId="0">
      <selection activeCell="D4" sqref="D4"/>
    </sheetView>
  </sheetViews>
  <sheetFormatPr defaultRowHeight="14.4" x14ac:dyDescent="0.3"/>
  <cols>
    <col min="1" max="1" width="18" customWidth="1"/>
    <col min="2" max="2" width="18.88671875" customWidth="1"/>
    <col min="3" max="3" width="18.33203125" customWidth="1"/>
    <col min="4" max="4" width="18.109375" customWidth="1"/>
  </cols>
  <sheetData>
    <row r="1" spans="1:4" x14ac:dyDescent="0.3">
      <c r="A1" s="12" t="s">
        <v>37</v>
      </c>
      <c r="B1" s="12"/>
      <c r="C1" s="12"/>
      <c r="D1" s="12"/>
    </row>
    <row r="2" spans="1:4" ht="19.2" x14ac:dyDescent="0.3">
      <c r="A2" s="1" t="s">
        <v>30</v>
      </c>
      <c r="B2" s="1" t="s">
        <v>31</v>
      </c>
      <c r="C2" s="1" t="s">
        <v>32</v>
      </c>
      <c r="D2" s="1" t="s">
        <v>33</v>
      </c>
    </row>
    <row r="3" spans="1:4" ht="19.2" x14ac:dyDescent="0.3">
      <c r="A3" s="4" t="s">
        <v>34</v>
      </c>
      <c r="B3" s="2">
        <v>9000</v>
      </c>
      <c r="C3" s="2" t="s">
        <v>28</v>
      </c>
      <c r="D3" s="2" t="str">
        <f>IF(OR(B3&gt;=10000,C3="Yes")," Discount", "No Discount")</f>
        <v>No Discount</v>
      </c>
    </row>
    <row r="4" spans="1:4" ht="19.2" x14ac:dyDescent="0.3">
      <c r="A4" s="5" t="s">
        <v>35</v>
      </c>
      <c r="B4" s="3">
        <v>12000</v>
      </c>
      <c r="C4" s="3" t="s">
        <v>28</v>
      </c>
      <c r="D4" s="2" t="str">
        <f t="shared" ref="D4:D6" si="0">IF(OR(B4&gt;=10000,C4="Yes")," Discount", "No Discount")</f>
        <v xml:space="preserve"> Discount</v>
      </c>
    </row>
    <row r="5" spans="1:4" ht="19.2" x14ac:dyDescent="0.3">
      <c r="A5" s="4" t="s">
        <v>6</v>
      </c>
      <c r="B5" s="2">
        <v>4000</v>
      </c>
      <c r="C5" s="2" t="s">
        <v>27</v>
      </c>
      <c r="D5" s="2" t="str">
        <f t="shared" si="0"/>
        <v xml:space="preserve"> Discount</v>
      </c>
    </row>
    <row r="6" spans="1:4" ht="19.2" x14ac:dyDescent="0.3">
      <c r="A6" s="5" t="s">
        <v>36</v>
      </c>
      <c r="B6" s="3">
        <v>3000</v>
      </c>
      <c r="C6" s="3" t="s">
        <v>28</v>
      </c>
      <c r="D6" s="2" t="str">
        <f t="shared" si="0"/>
        <v>No Discount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2F4D-48F2-40AC-BB56-24C2C36658D2}">
  <dimension ref="A1:D6"/>
  <sheetViews>
    <sheetView workbookViewId="0">
      <selection activeCell="D3" sqref="D3:D6"/>
    </sheetView>
  </sheetViews>
  <sheetFormatPr defaultRowHeight="14.4" x14ac:dyDescent="0.3"/>
  <cols>
    <col min="1" max="1" width="18.109375" customWidth="1"/>
    <col min="2" max="2" width="17.88671875" customWidth="1"/>
    <col min="3" max="3" width="16.88671875" customWidth="1"/>
    <col min="4" max="4" width="19.88671875" customWidth="1"/>
  </cols>
  <sheetData>
    <row r="1" spans="1:4" x14ac:dyDescent="0.3">
      <c r="A1" s="12" t="s">
        <v>41</v>
      </c>
      <c r="B1" s="12"/>
      <c r="C1" s="12"/>
      <c r="D1" s="12"/>
    </row>
    <row r="2" spans="1:4" ht="19.2" x14ac:dyDescent="0.3">
      <c r="A2" s="1" t="s">
        <v>38</v>
      </c>
      <c r="B2" s="1" t="s">
        <v>11</v>
      </c>
      <c r="C2" s="1" t="s">
        <v>39</v>
      </c>
      <c r="D2" s="1" t="s">
        <v>40</v>
      </c>
    </row>
    <row r="3" spans="1:4" ht="19.2" x14ac:dyDescent="0.3">
      <c r="A3" s="4" t="s">
        <v>13</v>
      </c>
      <c r="B3" s="2">
        <v>35000</v>
      </c>
      <c r="C3" s="2">
        <v>720</v>
      </c>
      <c r="D3" s="2" t="str">
        <f>IF(OR(B3&gt;=40000,C3&gt;=700), "Approved", "Not Approved")</f>
        <v>Approved</v>
      </c>
    </row>
    <row r="4" spans="1:4" ht="19.2" x14ac:dyDescent="0.3">
      <c r="A4" s="5" t="s">
        <v>14</v>
      </c>
      <c r="B4" s="3">
        <v>25000</v>
      </c>
      <c r="C4" s="3">
        <v>680</v>
      </c>
      <c r="D4" s="2" t="str">
        <f t="shared" ref="D4:D6" si="0">IF(OR(B4&gt;=40000,C4&gt;=700), "Approved", "Not Approved")</f>
        <v>Not Approved</v>
      </c>
    </row>
    <row r="5" spans="1:4" ht="19.2" x14ac:dyDescent="0.3">
      <c r="A5" s="4" t="s">
        <v>15</v>
      </c>
      <c r="B5" s="2">
        <v>50000</v>
      </c>
      <c r="C5" s="2">
        <v>650</v>
      </c>
      <c r="D5" s="2" t="str">
        <f t="shared" si="0"/>
        <v>Approved</v>
      </c>
    </row>
    <row r="6" spans="1:4" ht="19.2" x14ac:dyDescent="0.3">
      <c r="A6" s="5" t="s">
        <v>16</v>
      </c>
      <c r="B6" s="3">
        <v>20000</v>
      </c>
      <c r="C6" s="3">
        <v>600</v>
      </c>
      <c r="D6" s="2" t="str">
        <f t="shared" si="0"/>
        <v>Not Approved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D419-3980-4EA1-A2FB-3463806533D5}">
  <dimension ref="A1:C6"/>
  <sheetViews>
    <sheetView workbookViewId="0">
      <selection activeCell="C6" sqref="C6"/>
    </sheetView>
  </sheetViews>
  <sheetFormatPr defaultRowHeight="14.4" x14ac:dyDescent="0.3"/>
  <cols>
    <col min="1" max="1" width="22.6640625" customWidth="1"/>
    <col min="3" max="3" width="17" customWidth="1"/>
  </cols>
  <sheetData>
    <row r="1" spans="1:3" ht="23.25" customHeight="1" x14ac:dyDescent="0.3">
      <c r="A1" s="15" t="s">
        <v>44</v>
      </c>
      <c r="B1" s="15"/>
      <c r="C1" s="15"/>
    </row>
    <row r="2" spans="1:3" x14ac:dyDescent="0.3">
      <c r="A2" s="6" t="s">
        <v>20</v>
      </c>
      <c r="B2" s="6" t="s">
        <v>42</v>
      </c>
      <c r="C2" s="6" t="s">
        <v>43</v>
      </c>
    </row>
    <row r="3" spans="1:3" x14ac:dyDescent="0.3">
      <c r="A3" s="7" t="s">
        <v>4</v>
      </c>
      <c r="B3" s="8" t="b">
        <v>1</v>
      </c>
      <c r="C3" s="8" t="str">
        <f>IF(B3,"Present", "Not Present")</f>
        <v>Present</v>
      </c>
    </row>
    <row r="4" spans="1:3" x14ac:dyDescent="0.3">
      <c r="A4" s="9" t="s">
        <v>5</v>
      </c>
      <c r="B4" s="10" t="b">
        <v>0</v>
      </c>
      <c r="C4" s="8" t="str">
        <f>IF(B4,"Present", "Not Present")</f>
        <v>Not Present</v>
      </c>
    </row>
    <row r="5" spans="1:3" x14ac:dyDescent="0.3">
      <c r="A5" s="7" t="s">
        <v>6</v>
      </c>
      <c r="B5" s="8" t="b">
        <v>1</v>
      </c>
      <c r="C5" s="8" t="str">
        <f t="shared" ref="C5:C6" si="0">IF(B5,"Present", "Not Present")</f>
        <v>Present</v>
      </c>
    </row>
    <row r="6" spans="1:3" x14ac:dyDescent="0.3">
      <c r="A6" s="9" t="s">
        <v>7</v>
      </c>
      <c r="B6" s="10" t="b">
        <v>0</v>
      </c>
      <c r="C6" s="8" t="str">
        <f t="shared" si="0"/>
        <v>Not Present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8406-7F4A-45E9-BA64-A6F21A3FB986}">
  <dimension ref="A1:C6"/>
  <sheetViews>
    <sheetView workbookViewId="0">
      <selection activeCell="C3" sqref="C3"/>
    </sheetView>
  </sheetViews>
  <sheetFormatPr defaultRowHeight="14.4" x14ac:dyDescent="0.3"/>
  <cols>
    <col min="1" max="1" width="18.88671875" customWidth="1"/>
    <col min="2" max="2" width="21.44140625" customWidth="1"/>
    <col min="3" max="3" width="19.44140625" customWidth="1"/>
  </cols>
  <sheetData>
    <row r="1" spans="1:3" x14ac:dyDescent="0.3">
      <c r="A1" s="12" t="s">
        <v>47</v>
      </c>
      <c r="B1" s="12"/>
      <c r="C1" s="12"/>
    </row>
    <row r="2" spans="1:3" ht="19.2" x14ac:dyDescent="0.3">
      <c r="A2" s="1" t="s">
        <v>45</v>
      </c>
      <c r="B2" s="1" t="s">
        <v>46</v>
      </c>
      <c r="C2" s="1" t="s">
        <v>3</v>
      </c>
    </row>
    <row r="3" spans="1:3" ht="19.2" x14ac:dyDescent="0.3">
      <c r="A3" s="4">
        <v>10</v>
      </c>
      <c r="B3" s="4">
        <v>2</v>
      </c>
      <c r="C3" s="2">
        <f>IFERROR(A3/B3, "Invalid")</f>
        <v>5</v>
      </c>
    </row>
    <row r="4" spans="1:3" ht="19.2" x14ac:dyDescent="0.3">
      <c r="A4" s="5">
        <v>15</v>
      </c>
      <c r="B4" s="5">
        <v>0</v>
      </c>
      <c r="C4" s="2" t="str">
        <f t="shared" ref="C4:C6" si="0">IFERROR(A4/B4, "Invalid")</f>
        <v>Invalid</v>
      </c>
    </row>
    <row r="5" spans="1:3" ht="19.2" x14ac:dyDescent="0.3">
      <c r="A5" s="4">
        <v>20</v>
      </c>
      <c r="B5" s="4">
        <v>5</v>
      </c>
      <c r="C5" s="2">
        <f t="shared" si="0"/>
        <v>4</v>
      </c>
    </row>
    <row r="6" spans="1:3" ht="19.2" x14ac:dyDescent="0.3">
      <c r="A6" s="5">
        <v>8</v>
      </c>
      <c r="B6" s="5">
        <v>0</v>
      </c>
      <c r="C6" s="2" t="str">
        <f t="shared" si="0"/>
        <v>Invalid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2B0A-DDA1-4472-BA3E-759F3C191AFB}">
  <dimension ref="A1:D6"/>
  <sheetViews>
    <sheetView workbookViewId="0">
      <selection activeCell="D3" sqref="D3"/>
    </sheetView>
  </sheetViews>
  <sheetFormatPr defaultRowHeight="14.4" x14ac:dyDescent="0.3"/>
  <cols>
    <col min="1" max="1" width="23.88671875" customWidth="1"/>
    <col min="2" max="2" width="24" customWidth="1"/>
    <col min="3" max="3" width="21.44140625" customWidth="1"/>
    <col min="4" max="4" width="30.44140625" customWidth="1"/>
  </cols>
  <sheetData>
    <row r="1" spans="1:4" x14ac:dyDescent="0.3">
      <c r="A1" s="12" t="s">
        <v>54</v>
      </c>
      <c r="B1" s="12"/>
      <c r="C1" s="12"/>
      <c r="D1" s="12"/>
    </row>
    <row r="2" spans="1:4" ht="48" customHeight="1" x14ac:dyDescent="0.3">
      <c r="A2" s="1" t="s">
        <v>10</v>
      </c>
      <c r="B2" s="1" t="s">
        <v>48</v>
      </c>
      <c r="C2" s="1" t="s">
        <v>25</v>
      </c>
      <c r="D2" s="1" t="s">
        <v>49</v>
      </c>
    </row>
    <row r="3" spans="1:4" ht="19.2" x14ac:dyDescent="0.3">
      <c r="A3" s="4" t="s">
        <v>50</v>
      </c>
      <c r="B3" s="2">
        <v>45</v>
      </c>
      <c r="C3" s="2">
        <v>92</v>
      </c>
      <c r="D3" s="11" t="str">
        <f>IF(AND(C3&gt;=90,B3&gt;=40), "Ecxellent", IF(C3&gt;=80, "Good", "Need Improvement"))</f>
        <v>Ecxellent</v>
      </c>
    </row>
    <row r="4" spans="1:4" ht="19.2" x14ac:dyDescent="0.3">
      <c r="A4" s="5" t="s">
        <v>51</v>
      </c>
      <c r="B4" s="3">
        <v>38</v>
      </c>
      <c r="C4" s="3">
        <v>85</v>
      </c>
      <c r="D4" s="11" t="str">
        <f t="shared" ref="D4:D6" si="0">IF(AND(C4&gt;=90,B4&gt;=40), "Ecxellent", IF(C4&gt;=80, "Good", "Need Improvement"))</f>
        <v>Good</v>
      </c>
    </row>
    <row r="5" spans="1:4" ht="19.2" x14ac:dyDescent="0.3">
      <c r="A5" s="4" t="s">
        <v>52</v>
      </c>
      <c r="B5" s="2">
        <v>50</v>
      </c>
      <c r="C5" s="2">
        <v>95</v>
      </c>
      <c r="D5" s="11" t="str">
        <f t="shared" si="0"/>
        <v>Ecxellent</v>
      </c>
    </row>
    <row r="6" spans="1:4" ht="19.2" x14ac:dyDescent="0.3">
      <c r="A6" s="5" t="s">
        <v>53</v>
      </c>
      <c r="B6" s="3">
        <v>30</v>
      </c>
      <c r="C6" s="3">
        <v>70</v>
      </c>
      <c r="D6" s="11" t="str">
        <f t="shared" si="0"/>
        <v>Need Improvement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_IF</vt:lpstr>
      <vt:lpstr>Nested If</vt:lpstr>
      <vt:lpstr>IF__AND</vt:lpstr>
      <vt:lpstr>IF_AND</vt:lpstr>
      <vt:lpstr>IF_OR</vt:lpstr>
      <vt:lpstr>IFOR</vt:lpstr>
      <vt:lpstr>IFNOT</vt:lpstr>
      <vt:lpstr>IFERROR</vt:lpstr>
      <vt:lpstr>IFAND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ASDC62</dc:creator>
  <cp:lastModifiedBy>Vishwa Patel</cp:lastModifiedBy>
  <dcterms:created xsi:type="dcterms:W3CDTF">2026-05-02T11:40:16Z</dcterms:created>
  <dcterms:modified xsi:type="dcterms:W3CDTF">2026-05-17T06:05:17Z</dcterms:modified>
</cp:coreProperties>
</file>