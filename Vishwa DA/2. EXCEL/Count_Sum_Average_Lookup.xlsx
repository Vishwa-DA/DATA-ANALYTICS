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8_{0D038D80-0507-4BAF-98C4-66492C3D842A}" xr6:coauthVersionLast="47" xr6:coauthVersionMax="47" xr10:uidLastSave="{00000000-0000-0000-0000-000000000000}"/>
  <bookViews>
    <workbookView xWindow="-120" yWindow="-120" windowWidth="20730" windowHeight="11040" activeTab="3" xr2:uid="{295B56B6-74EA-4F47-A9D0-0F434BF4026E}"/>
  </bookViews>
  <sheets>
    <sheet name="Count and Lookup" sheetId="1" r:id="rId1"/>
    <sheet name="Hlookup" sheetId="2" r:id="rId2"/>
    <sheet name="Data" sheetId="3" r:id="rId3"/>
    <sheet name="Logged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4" l="1"/>
  <c r="G4" i="4"/>
  <c r="D3" i="3"/>
  <c r="D4" i="3"/>
  <c r="D5" i="3"/>
  <c r="D6" i="3"/>
  <c r="D7" i="3"/>
  <c r="D8" i="3"/>
  <c r="D9" i="3"/>
  <c r="D10" i="3"/>
  <c r="D11" i="3"/>
  <c r="D2" i="3"/>
  <c r="H14" i="1"/>
  <c r="H13" i="1"/>
  <c r="H12" i="1"/>
  <c r="H11" i="1"/>
  <c r="L3" i="1"/>
  <c r="G10" i="2"/>
  <c r="H9" i="1"/>
  <c r="H6" i="1"/>
  <c r="H4" i="1"/>
  <c r="H3" i="1"/>
  <c r="H2" i="1"/>
</calcChain>
</file>

<file path=xl/sharedStrings.xml><?xml version="1.0" encoding="utf-8"?>
<sst xmlns="http://schemas.openxmlformats.org/spreadsheetml/2006/main" count="104" uniqueCount="29">
  <si>
    <t>S.no</t>
  </si>
  <si>
    <t>Amount</t>
  </si>
  <si>
    <t>Ram</t>
  </si>
  <si>
    <t>Shayam</t>
  </si>
  <si>
    <t>Rohan</t>
  </si>
  <si>
    <t>Mohan</t>
  </si>
  <si>
    <t>Count</t>
  </si>
  <si>
    <t>CountA</t>
  </si>
  <si>
    <t>CountBlank</t>
  </si>
  <si>
    <t>isLoggedIn</t>
  </si>
  <si>
    <t>Yes</t>
  </si>
  <si>
    <t>No</t>
  </si>
  <si>
    <t>CountIf</t>
  </si>
  <si>
    <t>vlookup</t>
  </si>
  <si>
    <t>Customer Name</t>
  </si>
  <si>
    <t>LookUp Value</t>
  </si>
  <si>
    <t>H lookup</t>
  </si>
  <si>
    <t>isloggedIn</t>
  </si>
  <si>
    <t>xlookup</t>
  </si>
  <si>
    <t>SumIf</t>
  </si>
  <si>
    <t>Sumifs</t>
  </si>
  <si>
    <t>Averageif</t>
  </si>
  <si>
    <t>AverageIfs</t>
  </si>
  <si>
    <t>isloogedIn</t>
  </si>
  <si>
    <t>Region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</si>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</sst>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DDC4-2459-4AEE-9ED6-70745DFE3CE2}">
  <dimension ref="A1:L14"/>
  <sheetViews>
    <sheetView zoomScale="160" zoomScaleNormal="160" workbookViewId="0">
      <selection activeCell="E2" sqref="E2"/>
    </sheetView>
  </sheetViews>
  <sheetFormatPr defaultRowHeight="15" x14ac:dyDescent="0.25"/>
  <cols>
    <col min="1" max="1" width="4.85546875" bestFit="1" customWidth="1"/>
    <col min="2" max="2" width="8.140625" bestFit="1" customWidth="1"/>
    <col min="3" max="3" width="15.42578125" bestFit="1" customWidth="1"/>
    <col min="4" max="4" width="10.42578125" bestFit="1" customWidth="1"/>
    <col min="5" max="5" width="10.42578125" customWidth="1"/>
    <col min="7" max="7" width="13.28515625" bestFit="1" customWidth="1"/>
    <col min="8" max="8" width="7.85546875" bestFit="1" customWidth="1"/>
    <col min="9" max="9" width="8.140625" bestFit="1" customWidth="1"/>
  </cols>
  <sheetData>
    <row r="1" spans="1:12" x14ac:dyDescent="0.25">
      <c r="A1" t="s">
        <v>0</v>
      </c>
      <c r="B1" t="s">
        <v>1</v>
      </c>
      <c r="C1" t="s">
        <v>14</v>
      </c>
      <c r="D1" t="s">
        <v>9</v>
      </c>
      <c r="L1" t="s">
        <v>18</v>
      </c>
    </row>
    <row r="2" spans="1:12" x14ac:dyDescent="0.25">
      <c r="A2">
        <v>101</v>
      </c>
      <c r="B2">
        <v>34082</v>
      </c>
      <c r="C2" t="s">
        <v>2</v>
      </c>
      <c r="D2" t="s">
        <v>10</v>
      </c>
      <c r="G2" t="s">
        <v>6</v>
      </c>
      <c r="H2">
        <f>COUNT(A2:A11)</f>
        <v>10</v>
      </c>
    </row>
    <row r="3" spans="1:12" x14ac:dyDescent="0.25">
      <c r="A3">
        <v>102</v>
      </c>
      <c r="B3">
        <v>27320</v>
      </c>
      <c r="C3" t="s">
        <v>3</v>
      </c>
      <c r="D3" t="s">
        <v>11</v>
      </c>
      <c r="G3" t="s">
        <v>7</v>
      </c>
      <c r="H3">
        <f>COUNTA(C2:C11)</f>
        <v>10</v>
      </c>
      <c r="K3">
        <v>106</v>
      </c>
      <c r="L3" t="str">
        <f>_xlfn.XLOOKUP(K3,A2:A11,D2:D11)</f>
        <v>Yes</v>
      </c>
    </row>
    <row r="4" spans="1:12" x14ac:dyDescent="0.25">
      <c r="A4">
        <v>103</v>
      </c>
      <c r="B4">
        <v>75637</v>
      </c>
      <c r="C4" t="s">
        <v>4</v>
      </c>
      <c r="D4" t="s">
        <v>10</v>
      </c>
      <c r="G4" t="s">
        <v>8</v>
      </c>
      <c r="H4">
        <f>COUNTBLANK(B2:B11)</f>
        <v>1</v>
      </c>
    </row>
    <row r="5" spans="1:12" x14ac:dyDescent="0.25">
      <c r="A5">
        <v>104</v>
      </c>
      <c r="B5">
        <v>60820</v>
      </c>
      <c r="C5" t="s">
        <v>5</v>
      </c>
      <c r="D5" t="s">
        <v>11</v>
      </c>
    </row>
    <row r="6" spans="1:12" x14ac:dyDescent="0.25">
      <c r="A6">
        <v>105</v>
      </c>
      <c r="B6">
        <v>77923</v>
      </c>
      <c r="C6" t="s">
        <v>2</v>
      </c>
      <c r="D6" t="s">
        <v>11</v>
      </c>
      <c r="G6" t="s">
        <v>12</v>
      </c>
      <c r="H6">
        <f>COUNTIF(D2:D11,"Yes")</f>
        <v>5</v>
      </c>
    </row>
    <row r="7" spans="1:12" x14ac:dyDescent="0.25">
      <c r="A7">
        <v>106</v>
      </c>
      <c r="C7" t="s">
        <v>3</v>
      </c>
      <c r="D7" t="s">
        <v>10</v>
      </c>
    </row>
    <row r="8" spans="1:12" x14ac:dyDescent="0.25">
      <c r="A8">
        <v>107</v>
      </c>
      <c r="B8">
        <v>25385</v>
      </c>
      <c r="C8" t="s">
        <v>4</v>
      </c>
      <c r="D8" t="s">
        <v>11</v>
      </c>
      <c r="G8" s="1" t="s">
        <v>15</v>
      </c>
      <c r="H8" s="1">
        <v>102</v>
      </c>
      <c r="I8" s="1" t="s">
        <v>13</v>
      </c>
    </row>
    <row r="9" spans="1:12" x14ac:dyDescent="0.25">
      <c r="A9">
        <v>108</v>
      </c>
      <c r="B9">
        <v>36031</v>
      </c>
      <c r="C9" t="s">
        <v>5</v>
      </c>
      <c r="D9" t="s">
        <v>11</v>
      </c>
      <c r="G9" s="1"/>
      <c r="H9" s="1" t="str">
        <f>VLOOKUP(H8,A1:D11,3,1)</f>
        <v>Shayam</v>
      </c>
      <c r="I9" s="1"/>
    </row>
    <row r="10" spans="1:12" x14ac:dyDescent="0.25">
      <c r="A10">
        <v>109</v>
      </c>
      <c r="B10">
        <v>61175</v>
      </c>
      <c r="C10" t="s">
        <v>2</v>
      </c>
      <c r="D10" t="s">
        <v>10</v>
      </c>
    </row>
    <row r="11" spans="1:12" x14ac:dyDescent="0.25">
      <c r="A11">
        <v>110</v>
      </c>
      <c r="B11">
        <v>73522</v>
      </c>
      <c r="C11" t="s">
        <v>3</v>
      </c>
      <c r="D11" t="s">
        <v>10</v>
      </c>
      <c r="G11" t="s">
        <v>19</v>
      </c>
      <c r="H11">
        <f>SUMIF(C2:C11,"Ram",B2:B11)</f>
        <v>173180</v>
      </c>
    </row>
    <row r="12" spans="1:12" x14ac:dyDescent="0.25">
      <c r="G12" t="s">
        <v>20</v>
      </c>
      <c r="H12">
        <f>SUMIFS(B2:B11,C2:C11,"Shayam",D2:D11,"Yes")</f>
        <v>73522</v>
      </c>
    </row>
    <row r="13" spans="1:12" x14ac:dyDescent="0.25">
      <c r="G13" t="s">
        <v>21</v>
      </c>
      <c r="H13">
        <f>AVERAGEIF(C2:C11,"Ram",B2:B11)</f>
        <v>57726.666666666664</v>
      </c>
    </row>
    <row r="14" spans="1:12" x14ac:dyDescent="0.25">
      <c r="G14" t="s">
        <v>22</v>
      </c>
      <c r="H14">
        <f>AVERAGEIFS(B2:B11,C2:C11,"Shayam",D2:D11,"Yes")</f>
        <v>73522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2A94-2A11-4A87-A1AA-3F6F6C291BE8}">
  <dimension ref="A1:K10"/>
  <sheetViews>
    <sheetView zoomScale="145" zoomScaleNormal="145" workbookViewId="0">
      <selection activeCell="K10" sqref="K10"/>
    </sheetView>
  </sheetViews>
  <sheetFormatPr defaultRowHeight="15" x14ac:dyDescent="0.25"/>
  <cols>
    <col min="1" max="1" width="15.42578125" bestFit="1" customWidth="1"/>
    <col min="2" max="2" width="6" bestFit="1" customWidth="1"/>
    <col min="3" max="3" width="7.85546875" bestFit="1" customWidth="1"/>
    <col min="4" max="4" width="6.5703125" bestFit="1" customWidth="1"/>
    <col min="5" max="5" width="13.28515625" bestFit="1" customWidth="1"/>
    <col min="6" max="6" width="4.85546875" bestFit="1" customWidth="1"/>
    <col min="7" max="7" width="10.140625" bestFit="1" customWidth="1"/>
    <col min="8" max="8" width="6.5703125" bestFit="1" customWidth="1"/>
    <col min="9" max="9" width="7.140625" bestFit="1" customWidth="1"/>
    <col min="10" max="10" width="6" bestFit="1" customWidth="1"/>
    <col min="11" max="11" width="7.85546875" bestFit="1" customWidth="1"/>
  </cols>
  <sheetData>
    <row r="1" spans="1:11" x14ac:dyDescent="0.25">
      <c r="A1" s="2" t="s">
        <v>0</v>
      </c>
      <c r="B1" s="3">
        <v>101</v>
      </c>
      <c r="C1" s="3">
        <v>102</v>
      </c>
      <c r="D1" s="3">
        <v>103</v>
      </c>
      <c r="E1" s="3">
        <v>104</v>
      </c>
      <c r="F1" s="3">
        <v>105</v>
      </c>
      <c r="G1" s="3">
        <v>106</v>
      </c>
      <c r="H1" s="3">
        <v>107</v>
      </c>
      <c r="I1" s="3">
        <v>108</v>
      </c>
      <c r="J1" s="3">
        <v>109</v>
      </c>
      <c r="K1" s="3">
        <v>110</v>
      </c>
    </row>
    <row r="2" spans="1:11" x14ac:dyDescent="0.25">
      <c r="A2" s="2" t="s">
        <v>1</v>
      </c>
      <c r="B2" s="1">
        <v>34082</v>
      </c>
      <c r="C2" s="1">
        <v>27320</v>
      </c>
      <c r="D2" s="1">
        <v>75637</v>
      </c>
      <c r="E2" s="1">
        <v>60820</v>
      </c>
      <c r="F2" s="1">
        <v>77923</v>
      </c>
      <c r="G2" s="1"/>
      <c r="H2" s="1">
        <v>25385</v>
      </c>
      <c r="I2" s="1">
        <v>36031</v>
      </c>
      <c r="J2" s="1">
        <v>61175</v>
      </c>
      <c r="K2" s="1">
        <v>73522</v>
      </c>
    </row>
    <row r="3" spans="1:11" x14ac:dyDescent="0.25">
      <c r="A3" s="2" t="s">
        <v>14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2</v>
      </c>
      <c r="K3" s="1" t="s">
        <v>3</v>
      </c>
    </row>
    <row r="4" spans="1:11" x14ac:dyDescent="0.25">
      <c r="A4" s="2" t="s">
        <v>9</v>
      </c>
      <c r="B4" s="1" t="s">
        <v>10</v>
      </c>
      <c r="C4" s="1" t="s">
        <v>11</v>
      </c>
      <c r="D4" s="1" t="s">
        <v>10</v>
      </c>
      <c r="E4" s="1" t="s">
        <v>11</v>
      </c>
      <c r="F4" s="1" t="s">
        <v>11</v>
      </c>
      <c r="G4" s="1" t="s">
        <v>10</v>
      </c>
      <c r="H4" s="1" t="s">
        <v>11</v>
      </c>
      <c r="I4" s="1" t="s">
        <v>11</v>
      </c>
      <c r="J4" s="1" t="s">
        <v>10</v>
      </c>
      <c r="K4" s="1" t="s">
        <v>10</v>
      </c>
    </row>
    <row r="8" spans="1:11" x14ac:dyDescent="0.25">
      <c r="F8" t="s">
        <v>16</v>
      </c>
    </row>
    <row r="9" spans="1:11" x14ac:dyDescent="0.25">
      <c r="F9" s="1" t="s">
        <v>0</v>
      </c>
      <c r="G9" s="1" t="s">
        <v>17</v>
      </c>
    </row>
    <row r="10" spans="1:11" x14ac:dyDescent="0.25">
      <c r="E10" t="s">
        <v>15</v>
      </c>
      <c r="F10" s="1">
        <v>105</v>
      </c>
      <c r="G10" s="1" t="str">
        <f>HLOOKUP(F10,A1:K4,4,0)</f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C66B-3C05-4F6F-84BA-962D61BCEA86}">
  <dimension ref="A1:E11"/>
  <sheetViews>
    <sheetView zoomScale="160" zoomScaleNormal="160" workbookViewId="0">
      <selection activeCell="C8" sqref="C8"/>
    </sheetView>
  </sheetViews>
  <sheetFormatPr defaultRowHeight="15" x14ac:dyDescent="0.25"/>
  <cols>
    <col min="1" max="1" width="4.85546875" bestFit="1" customWidth="1"/>
    <col min="2" max="2" width="8.140625" bestFit="1" customWidth="1"/>
    <col min="3" max="3" width="15.42578125" bestFit="1" customWidth="1"/>
  </cols>
  <sheetData>
    <row r="1" spans="1:5" x14ac:dyDescent="0.25">
      <c r="A1" t="s">
        <v>0</v>
      </c>
      <c r="B1" t="s">
        <v>1</v>
      </c>
      <c r="C1" t="s">
        <v>14</v>
      </c>
      <c r="D1" t="s">
        <v>23</v>
      </c>
      <c r="E1" t="s">
        <v>24</v>
      </c>
    </row>
    <row r="2" spans="1:5" x14ac:dyDescent="0.25">
      <c r="A2">
        <v>101</v>
      </c>
      <c r="B2">
        <v>34082</v>
      </c>
      <c r="C2" t="s">
        <v>2</v>
      </c>
      <c r="D2" t="str">
        <f>VLOOKUP(A2,Loggedin!A1:B11,2,0)</f>
        <v>Yes</v>
      </c>
      <c r="E2" t="s">
        <v>25</v>
      </c>
    </row>
    <row r="3" spans="1:5" x14ac:dyDescent="0.25">
      <c r="A3">
        <v>102</v>
      </c>
      <c r="B3">
        <v>27320</v>
      </c>
      <c r="C3" t="s">
        <v>3</v>
      </c>
      <c r="D3" t="str">
        <f>VLOOKUP(A3,Loggedin!A2:B12,2,0)</f>
        <v>No</v>
      </c>
      <c r="E3" t="s">
        <v>26</v>
      </c>
    </row>
    <row r="4" spans="1:5" x14ac:dyDescent="0.25">
      <c r="A4">
        <v>103</v>
      </c>
      <c r="B4">
        <v>75637</v>
      </c>
      <c r="C4" t="s">
        <v>4</v>
      </c>
      <c r="D4" t="str">
        <f>VLOOKUP(A4,Loggedin!A3:B13,2,0)</f>
        <v>Yes</v>
      </c>
      <c r="E4" t="s">
        <v>27</v>
      </c>
    </row>
    <row r="5" spans="1:5" x14ac:dyDescent="0.25">
      <c r="A5">
        <v>104</v>
      </c>
      <c r="B5">
        <v>60820</v>
      </c>
      <c r="C5" t="s">
        <v>5</v>
      </c>
      <c r="D5" t="str">
        <f>VLOOKUP(A5,Loggedin!A4:B14,2,0)</f>
        <v>No</v>
      </c>
      <c r="E5" t="s">
        <v>28</v>
      </c>
    </row>
    <row r="6" spans="1:5" x14ac:dyDescent="0.25">
      <c r="A6">
        <v>105</v>
      </c>
      <c r="B6">
        <v>77923</v>
      </c>
      <c r="C6" t="s">
        <v>2</v>
      </c>
      <c r="D6" t="str">
        <f>VLOOKUP(A6,Loggedin!A5:B15,2,0)</f>
        <v>No</v>
      </c>
      <c r="E6" t="s">
        <v>25</v>
      </c>
    </row>
    <row r="7" spans="1:5" x14ac:dyDescent="0.25">
      <c r="A7">
        <v>106</v>
      </c>
      <c r="B7">
        <v>65787</v>
      </c>
      <c r="C7" t="s">
        <v>3</v>
      </c>
      <c r="D7" t="str">
        <f>VLOOKUP(A7,Loggedin!A6:B16,2,0)</f>
        <v>Yes</v>
      </c>
      <c r="E7" t="s">
        <v>26</v>
      </c>
    </row>
    <row r="8" spans="1:5" x14ac:dyDescent="0.25">
      <c r="A8">
        <v>107</v>
      </c>
      <c r="B8">
        <v>25385</v>
      </c>
      <c r="C8" t="s">
        <v>4</v>
      </c>
      <c r="D8" t="str">
        <f>VLOOKUP(A8,Loggedin!A7:B17,2,0)</f>
        <v>No</v>
      </c>
      <c r="E8" t="s">
        <v>27</v>
      </c>
    </row>
    <row r="9" spans="1:5" x14ac:dyDescent="0.25">
      <c r="A9">
        <v>108</v>
      </c>
      <c r="B9">
        <v>36031</v>
      </c>
      <c r="C9" t="s">
        <v>5</v>
      </c>
      <c r="D9" t="str">
        <f>VLOOKUP(A9,Loggedin!A8:B18,2,0)</f>
        <v>No</v>
      </c>
      <c r="E9" t="s">
        <v>28</v>
      </c>
    </row>
    <row r="10" spans="1:5" x14ac:dyDescent="0.25">
      <c r="A10">
        <v>109</v>
      </c>
      <c r="B10">
        <v>61175</v>
      </c>
      <c r="C10" t="s">
        <v>2</v>
      </c>
      <c r="D10" t="str">
        <f>VLOOKUP(A10,Loggedin!A9:B19,2,0)</f>
        <v>Yes</v>
      </c>
      <c r="E10" t="s">
        <v>25</v>
      </c>
    </row>
    <row r="11" spans="1:5" x14ac:dyDescent="0.25">
      <c r="A11">
        <v>110</v>
      </c>
      <c r="B11">
        <v>73522</v>
      </c>
      <c r="C11" t="s">
        <v>3</v>
      </c>
      <c r="D11" t="str">
        <f>VLOOKUP(A11,Loggedin!A10:B20,2,0)</f>
        <v>Yes</v>
      </c>
      <c r="E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A0DB-9527-4E25-B262-6A06C12F8368}">
  <dimension ref="A1:H11"/>
  <sheetViews>
    <sheetView tabSelected="1" zoomScale="175" zoomScaleNormal="175" workbookViewId="0">
      <selection activeCell="J6" sqref="J6"/>
    </sheetView>
  </sheetViews>
  <sheetFormatPr defaultRowHeight="15" x14ac:dyDescent="0.25"/>
  <cols>
    <col min="1" max="1" width="4.85546875" bestFit="1" customWidth="1"/>
    <col min="2" max="2" width="10.42578125" bestFit="1" customWidth="1"/>
  </cols>
  <sheetData>
    <row r="1" spans="1:8" x14ac:dyDescent="0.25">
      <c r="A1" s="1" t="s">
        <v>0</v>
      </c>
      <c r="B1" s="1" t="s">
        <v>9</v>
      </c>
    </row>
    <row r="2" spans="1:8" x14ac:dyDescent="0.25">
      <c r="A2" s="1">
        <v>101</v>
      </c>
      <c r="B2" s="1" t="s">
        <v>10</v>
      </c>
    </row>
    <row r="3" spans="1:8" x14ac:dyDescent="0.25">
      <c r="A3" s="1">
        <v>102</v>
      </c>
      <c r="B3" s="1" t="s">
        <v>11</v>
      </c>
      <c r="G3" t="s">
        <v>27</v>
      </c>
      <c r="H3" t="s">
        <v>25</v>
      </c>
    </row>
    <row r="4" spans="1:8" x14ac:dyDescent="0.25">
      <c r="A4" s="1">
        <v>103</v>
      </c>
      <c r="B4" s="1" t="s">
        <v>10</v>
      </c>
      <c r="F4" t="s">
        <v>2</v>
      </c>
      <c r="G4">
        <f>SUMIFS(Data!$B$2:$B$11,Data!$C$2:$C$11,Loggedin!$F$4,Data!$E$2:$E$11,Loggedin!G3)</f>
        <v>0</v>
      </c>
      <c r="H4">
        <f>SUMIFS(Data!$B$2:$B$11,Data!$C$2:$C$11,Loggedin!$F$4,Data!$E$2:$E$11,Loggedin!H3)</f>
        <v>173180</v>
      </c>
    </row>
    <row r="5" spans="1:8" x14ac:dyDescent="0.25">
      <c r="A5" s="1">
        <v>104</v>
      </c>
      <c r="B5" s="1" t="s">
        <v>11</v>
      </c>
      <c r="F5" t="s">
        <v>3</v>
      </c>
    </row>
    <row r="6" spans="1:8" x14ac:dyDescent="0.25">
      <c r="A6" s="1">
        <v>105</v>
      </c>
      <c r="B6" s="1" t="s">
        <v>11</v>
      </c>
    </row>
    <row r="7" spans="1:8" x14ac:dyDescent="0.25">
      <c r="A7" s="1">
        <v>106</v>
      </c>
      <c r="B7" s="1" t="s">
        <v>10</v>
      </c>
    </row>
    <row r="8" spans="1:8" x14ac:dyDescent="0.25">
      <c r="A8" s="1">
        <v>107</v>
      </c>
      <c r="B8" s="1" t="s">
        <v>11</v>
      </c>
    </row>
    <row r="9" spans="1:8" x14ac:dyDescent="0.25">
      <c r="A9" s="1">
        <v>108</v>
      </c>
      <c r="B9" s="1" t="s">
        <v>11</v>
      </c>
    </row>
    <row r="10" spans="1:8" x14ac:dyDescent="0.25">
      <c r="A10" s="1">
        <v>109</v>
      </c>
      <c r="B10" s="1" t="s">
        <v>10</v>
      </c>
    </row>
    <row r="11" spans="1:8" x14ac:dyDescent="0.25">
      <c r="A11" s="1">
        <v>110</v>
      </c>
      <c r="B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and Lookup</vt:lpstr>
      <vt:lpstr>Hlookup</vt:lpstr>
      <vt:lpstr>Data</vt:lpstr>
      <vt:lpstr>Loggedin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2026-05-17T08:50:41Z</dcterms:created>
  <dcterms:modified xsi:type="dcterms:W3CDTF">2026-05-17T09:20:12Z</dcterms:modified>
</cp:coreProperties>
</file>